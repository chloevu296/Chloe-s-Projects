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data" sheetId="1" r:id="rId5"/>
    <sheet state="visible" name="80_selected_cooperatives" sheetId="2" r:id="rId6"/>
    <sheet state="visible" name="survival_by_industry" sheetId="3" r:id="rId7"/>
    <sheet state="visible" name="unemployment_job_vacancies_by_s" sheetId="4" r:id="rId8"/>
    <sheet state="visible" name="sense_of_benefits" sheetId="5" r:id="rId9"/>
    <sheet state="visible" name="nsw_cooperatives_precincts" sheetId="6" r:id="rId10"/>
    <sheet state="visible" name="housing_coop_reasons" sheetId="7" r:id="rId11"/>
    <sheet state="visible" name="sense_of_outcomes" sheetId="8" r:id="rId12"/>
    <sheet state="visible" name="housing_cooperative_sample" sheetId="9" r:id="rId13"/>
    <sheet state="visible" name="areas_for_housing_cooperatives" sheetId="10" r:id="rId14"/>
  </sheets>
  <definedNames/>
  <calcPr/>
</workbook>
</file>

<file path=xl/sharedStrings.xml><?xml version="1.0" encoding="utf-8"?>
<sst xmlns="http://schemas.openxmlformats.org/spreadsheetml/2006/main" count="1483" uniqueCount="580">
  <si>
    <t>Sheet Name</t>
  </si>
  <si>
    <t>Column</t>
  </si>
  <si>
    <t>Definition</t>
  </si>
  <si>
    <t>Data Type</t>
  </si>
  <si>
    <t>80_selected_cooperatives</t>
  </si>
  <si>
    <t>Sheet Overview</t>
  </si>
  <si>
    <t>Subset of 80 Australian cooperatives selected from Mercury's full Co-op Directory. Primary dataset for Persona 1 (Peter) and Persona 2 (Min).</t>
  </si>
  <si>
    <t>ID</t>
  </si>
  <si>
    <t>state_code</t>
  </si>
  <si>
    <t>sector</t>
  </si>
  <si>
    <t>entry_rate_%</t>
  </si>
  <si>
    <t>exit_rate_%</t>
  </si>
  <si>
    <t>suvival_rate_of_entries_%</t>
  </si>
  <si>
    <t>Agriculture, Forestry and Fishing</t>
  </si>
  <si>
    <t>cooperative_name</t>
  </si>
  <si>
    <t>state</t>
  </si>
  <si>
    <t>Mining</t>
  </si>
  <si>
    <t>Manufacturing</t>
  </si>
  <si>
    <t>unemployment_rate_%</t>
  </si>
  <si>
    <t>city</t>
  </si>
  <si>
    <t>Unique numeric identifier assigned by Mercury for each co-operative in the directory.</t>
  </si>
  <si>
    <t>vacancy_rate_%</t>
  </si>
  <si>
    <t>Electricity, Gas, Water and Waste Services</t>
  </si>
  <si>
    <t>Integer</t>
  </si>
  <si>
    <t>job_vacancies_000</t>
  </si>
  <si>
    <t>street</t>
  </si>
  <si>
    <t>labour_force_000</t>
  </si>
  <si>
    <t>latitude</t>
  </si>
  <si>
    <t>Registered legal name of the cooperative.</t>
  </si>
  <si>
    <t>longitude</t>
  </si>
  <si>
    <t>Text</t>
  </si>
  <si>
    <t>Construction</t>
  </si>
  <si>
    <t>NSW</t>
  </si>
  <si>
    <t>ica1</t>
  </si>
  <si>
    <t>Australian state or territory where the co-operative is registered.</t>
  </si>
  <si>
    <t>ica2</t>
  </si>
  <si>
    <t>Wholesale Trade</t>
  </si>
  <si>
    <t>ica3</t>
  </si>
  <si>
    <t>ica4</t>
  </si>
  <si>
    <t>State abbreviation matching the state column.</t>
  </si>
  <si>
    <t>Retail Trade</t>
  </si>
  <si>
    <t>ica5</t>
  </si>
  <si>
    <t>ica6</t>
  </si>
  <si>
    <t>ica7</t>
  </si>
  <si>
    <t>Accommodation and Food Services</t>
  </si>
  <si>
    <t>Suburb or town where the co-operative is located.</t>
  </si>
  <si>
    <t>sector_division</t>
  </si>
  <si>
    <t>Transport, Postal and Warehousing</t>
  </si>
  <si>
    <t>Street address of the co-operative.</t>
  </si>
  <si>
    <t>Information Media and Telecommunications</t>
  </si>
  <si>
    <t>profit_type</t>
  </si>
  <si>
    <t>commodity_section</t>
  </si>
  <si>
    <t>Financial and Insurance Services</t>
  </si>
  <si>
    <t>commodity_type</t>
  </si>
  <si>
    <t>Geographic latitude coordinate (decimal degrees).</t>
  </si>
  <si>
    <t>Decimal</t>
  </si>
  <si>
    <t>Rental, Hiring and Real Estate Services</t>
  </si>
  <si>
    <t>Geographic longitude coordinate (decimal degrees).</t>
  </si>
  <si>
    <t>Professional, Scientific and Technical Services</t>
  </si>
  <si>
    <t>Aboriginal Medical Service Co-operative Limited</t>
  </si>
  <si>
    <t>New South Wales</t>
  </si>
  <si>
    <t>Binary indicator: alignment with ICA Principle 1 - Voluntary and Open Membership.</t>
  </si>
  <si>
    <t>Binary (1 = explicit evidence identified; 0 = no explicit evidence identified)</t>
  </si>
  <si>
    <t>Redfern</t>
  </si>
  <si>
    <t>36 Turner Street Redfern 2016 Redfern 2016</t>
  </si>
  <si>
    <t>Binary indicator: alignment with ICA Principle 2 - Democratic Member Control.</t>
  </si>
  <si>
    <t>VIC</t>
  </si>
  <si>
    <t>Binary indicator: alignment with ICA Principle 3 - Member Economic Participation.</t>
  </si>
  <si>
    <t>Administrative and Support Services</t>
  </si>
  <si>
    <t>Q</t>
  </si>
  <si>
    <t>Binary indicator: alignment with ICA Principle 4 - Autonomy and Independence.</t>
  </si>
  <si>
    <t>QLD</t>
  </si>
  <si>
    <t>Health Care and Social Assistance</t>
  </si>
  <si>
    <t>Not-for-profit</t>
  </si>
  <si>
    <t>Public Administration and Safety</t>
  </si>
  <si>
    <t>Binary indicator: alignment with ICA Principle 5 - Education, Training, and Information.</t>
  </si>
  <si>
    <t>Community, Social and Personal Services</t>
  </si>
  <si>
    <t>Adamstown Bowling Club Co-op Ltd</t>
  </si>
  <si>
    <t>Binary indicator: alignment with ICA Principle 6 - Cooperation Among Cooperatives.</t>
  </si>
  <si>
    <t>Education and Training</t>
  </si>
  <si>
    <t>SA</t>
  </si>
  <si>
    <t>Adamstown</t>
  </si>
  <si>
    <t>504 Glebe Road Adamstown 2289 Adamstown 2289</t>
  </si>
  <si>
    <t>Binary indicator: alignment with ICA Principle 7 - Concern for Community.</t>
  </si>
  <si>
    <t>WA</t>
  </si>
  <si>
    <t>Single-letter ANZSIC 2006 industry division code (A–S).</t>
  </si>
  <si>
    <t>R</t>
  </si>
  <si>
    <t>Arts and Recreation Services</t>
  </si>
  <si>
    <t>Full name of ANZSIC industry division.</t>
  </si>
  <si>
    <t>TAS</t>
  </si>
  <si>
    <t>Albury Radio Taxis Co-operative Society Limited</t>
  </si>
  <si>
    <t>Profit orientation of the cooperative.</t>
  </si>
  <si>
    <t>Other Services</t>
  </si>
  <si>
    <t>Lavington</t>
  </si>
  <si>
    <t>430 Griffith Road Lavington 2641 Lavington 2641</t>
  </si>
  <si>
    <t>Numeric code for commodity classification.</t>
  </si>
  <si>
    <t>NT</t>
  </si>
  <si>
    <t>Commodity category name (e.g., "Community, Social and Personal Services").</t>
  </si>
  <si>
    <t>I</t>
  </si>
  <si>
    <t>survival_by_industry</t>
  </si>
  <si>
    <t>For-profit</t>
  </si>
  <si>
    <t>Transport, Storage and Communications Services</t>
  </si>
  <si>
    <t>Business entry, exit and survival rates by ANZSIC industry sector. Used in Persona 1 Question 1 to identify industries with instability that may benefit from co-operative structures.</t>
  </si>
  <si>
    <t>ACT</t>
  </si>
  <si>
    <t>Alder Park Sports Club Co-operative Ltd</t>
  </si>
  <si>
    <t>New Lambton</t>
  </si>
  <si>
    <t>132 Bridges Road New Lambton 2305 New Lambton 2305</t>
  </si>
  <si>
    <t>ANZSIC industry division name.</t>
  </si>
  <si>
    <t>Rate of new business entries during the reference period: (Entries Total / Businesses Operating at start) × 100</t>
  </si>
  <si>
    <t>Decimal percentage</t>
  </si>
  <si>
    <t>Alfalfa House Community Food Co-op</t>
  </si>
  <si>
    <t>Rate of business exits during the reference period: (Exits Total / Businesses Operating at start) × 100</t>
  </si>
  <si>
    <t>Newtown</t>
  </si>
  <si>
    <t>113 Enmore Road Newtown 2042</t>
  </si>
  <si>
    <t>survival_rate_of_entries_%</t>
  </si>
  <si>
    <t>Percentage of businesses that entered the market in 2021 and were still operating by June 2025: (Survived to June 2025 / Survived to June 2021) × 100</t>
  </si>
  <si>
    <t>unemployment_job_vacancies_by_s</t>
  </si>
  <si>
    <t>State-level unemployment and job vacancy rates. Used in Persona 1 Question 3 to identify regions where workforce coordination through co-operatives may help.</t>
  </si>
  <si>
    <t>G</t>
  </si>
  <si>
    <t>Food Products, Beverages and Tobacco; Textiles, Apparel and Leather Products</t>
  </si>
  <si>
    <t>Anytime Fitness Sydney Marketing Co-op Ltd</t>
  </si>
  <si>
    <t>Lane Cove</t>
  </si>
  <si>
    <t>1 Bobden Avenue Lane Cove 2066 Lane Cove 2066</t>
  </si>
  <si>
    <t>Two-letter Australian state/territory abbreviation.</t>
  </si>
  <si>
    <t>Percentage of labour force currently unemployed and actively seeking work.</t>
  </si>
  <si>
    <t>M</t>
  </si>
  <si>
    <t>Job vacancies as a percentage of total labour force: (Job vacancies / Labour force) × 100</t>
  </si>
  <si>
    <t xml:space="preserve">Business Services; Agricultural, Mining and Manufacturing Services </t>
  </si>
  <si>
    <t>Appledale Processors Co-operative Limited</t>
  </si>
  <si>
    <t>Orange</t>
  </si>
  <si>
    <t>Total number of job vacancies in thousands.</t>
  </si>
  <si>
    <t>5 Stephen Place Orange 2800 Orange 2800</t>
  </si>
  <si>
    <t>Total labour force size in thousands.</t>
  </si>
  <si>
    <t>C</t>
  </si>
  <si>
    <t>nsw_cooperatives_precincts</t>
  </si>
  <si>
    <t>NSW innovation precincts (12) and 25 NSW co-operatives from the 80-sample, with calculated proximity between each co-op and its nearest precinct, plus distance from Macquarie University. Used in Persona 2 Questions 1 and 3.</t>
  </si>
  <si>
    <t>Armidale Radio Taxis Co-op Ltd</t>
  </si>
  <si>
    <t>Armidale</t>
  </si>
  <si>
    <t xml:space="preserve">178 Miller Street Armidale 2350 Armidale 2350 </t>
  </si>
  <si>
    <t>entity_name</t>
  </si>
  <si>
    <t>Name of the precinct or co-operative.</t>
  </si>
  <si>
    <t>Art Studios Co-operative Limited</t>
  </si>
  <si>
    <t>entity_type</t>
  </si>
  <si>
    <t>Ettalong Beach</t>
  </si>
  <si>
    <t>Indicates whether the row is a precinct or a co-operative.</t>
  </si>
  <si>
    <t xml:space="preserve">29 Broken Bay Road Ettalong Beach 2257 Ettalong Beach 2257 </t>
  </si>
  <si>
    <t>precinct_filter</t>
  </si>
  <si>
    <t>Name of the nearest aligned innovation precinct for each co-op (for precincts, this matches their own name).</t>
  </si>
  <si>
    <t>Geographic latitude (decimal degrees).</t>
  </si>
  <si>
    <t>Associazione Puglia (NSW) Co-operative Limited</t>
  </si>
  <si>
    <t>Leichhardt</t>
  </si>
  <si>
    <t>65 Renwick Street Leichhardt 2040 Leichhardt 2040</t>
  </si>
  <si>
    <t>Geographic longitude (decimal degrees).</t>
  </si>
  <si>
    <t>proximity_km</t>
  </si>
  <si>
    <t>Straight-line distance from the co-operative to its nearest aligned innovation precinct in kilometres (N/A (not applicable) for precinct rows and for co-operatives with no aligned sampled precinct).</t>
  </si>
  <si>
    <t>Aurora Ski Club Co-operative Limited</t>
  </si>
  <si>
    <t>ica1 to ica7</t>
  </si>
  <si>
    <t>Perisher Valley</t>
  </si>
  <si>
    <t>Same ICA binary indicators as in 80_selected_cooperatives sheet, copied for co-op rows only (N/A (Not applicable) for precinct rows because ICA coding was only applied to co-operatives).</t>
  </si>
  <si>
    <t>27 Wheatly Rd, Perisher Valley NSW 2624</t>
  </si>
  <si>
    <t>Binary (N/A for precincts)</t>
  </si>
  <si>
    <t>ANZSIC sector of the co-operative (N/A (not applicable) for precinct rows because the sector classification was only applied to co-operatives here).</t>
  </si>
  <si>
    <t>distance_from_mq</t>
  </si>
  <si>
    <t>Distance from the entity (co-op or precinct) to Macquarie University main campus (Macquarie Park) in kilometres.</t>
  </si>
  <si>
    <t>Australian Rural Education Centre Co-operative Ltd</t>
  </si>
  <si>
    <t>housing_coop_reasons</t>
  </si>
  <si>
    <t>Mudgee</t>
  </si>
  <si>
    <t>Australian Rural Education Centre (AREC) Cassilis Road Mudgee 2850</t>
  </si>
  <si>
    <t>Survey responses on reasons members joined housing co-operatives, with importance rankings. Used in Persona 3 Question 1.</t>
  </si>
  <si>
    <t>P</t>
  </si>
  <si>
    <t>survey_reason</t>
  </si>
  <si>
    <t>The reason given for joining a housing co-operative.</t>
  </si>
  <si>
    <t>Australian Valuers Institute Co-op Limited</t>
  </si>
  <si>
    <t>Frenchs Forest</t>
  </si>
  <si>
    <t xml:space="preserve">9 Tisane Avenue Frenchs Forest 2086 </t>
  </si>
  <si>
    <t>one</t>
  </si>
  <si>
    <t>Number of respondents who ranked this reason as #1 (most important).</t>
  </si>
  <si>
    <t>two</t>
  </si>
  <si>
    <t>Number of respondents who ranked this reason as #2.</t>
  </si>
  <si>
    <t>three</t>
  </si>
  <si>
    <t>Number of respondents who ranked this reason as #3.</t>
  </si>
  <si>
    <t>Ballina Fishermen's Co-operative Ltd</t>
  </si>
  <si>
    <t>Ballina</t>
  </si>
  <si>
    <t>four</t>
  </si>
  <si>
    <t>Cnr Pacific Highway &amp; Keppel Street Ballina 2478</t>
  </si>
  <si>
    <t>Number of respondents who ranked this reason as #4 (least important).</t>
  </si>
  <si>
    <t>sense_of_benefits</t>
  </si>
  <si>
    <t>Member-reported benefits of living in a housing co-operative, ranked by number of respondents. Used in Persona 3 Question 1.</t>
  </si>
  <si>
    <t>Bankstown Steam Locomotive Society Co-operative Limited</t>
  </si>
  <si>
    <t>Lugarno</t>
  </si>
  <si>
    <t>5 McManus Place Lugarno 2210</t>
  </si>
  <si>
    <t>benefit</t>
  </si>
  <si>
    <t>Description of a benefit experienced by housing co-op members.</t>
  </si>
  <si>
    <t>response_count</t>
  </si>
  <si>
    <t>Number of survey respondents who selected this benefit.</t>
  </si>
  <si>
    <t>Barristers' Services Co-operative Limited</t>
  </si>
  <si>
    <t>sense_of_outcomes</t>
  </si>
  <si>
    <t>Sydney</t>
  </si>
  <si>
    <t>Member-reported outcomes of co-operative living, with agreement percentages. Used in Persona 3 Question 1.</t>
  </si>
  <si>
    <t>53 Martin Place Sydney 2000</t>
  </si>
  <si>
    <t>Being able to manage rent / money better</t>
  </si>
  <si>
    <t>Being able to live in this area</t>
  </si>
  <si>
    <t>I feel more settled in general</t>
  </si>
  <si>
    <t>I feel more able to cope with life events</t>
  </si>
  <si>
    <t>outcome</t>
  </si>
  <si>
    <t>Batemans Bay Marina Co-operative Ltd</t>
  </si>
  <si>
    <t>Being able to collectively make decisions that shape where I live</t>
  </si>
  <si>
    <t>Description of an outcome experienced by co-op members.</t>
  </si>
  <si>
    <t>Batemans Bay</t>
  </si>
  <si>
    <t>percentage</t>
  </si>
  <si>
    <t xml:space="preserve">27 Beach Road Batemans Bay NSW 2536 </t>
  </si>
  <si>
    <t>Percentage of respondents reporting agreement with the outcome statement.</t>
  </si>
  <si>
    <t>housing_cooperative_sample</t>
  </si>
  <si>
    <t>Being able to use my voice to improve where I live</t>
  </si>
  <si>
    <t>Sample of 29 NSW housing co-operatives with approximate locations and demographic focus. Used in Persona 3 Question 2.</t>
  </si>
  <si>
    <t>I feel part of the local community</t>
  </si>
  <si>
    <t>Working collectively with others to shape the co-operative sector</t>
  </si>
  <si>
    <t>Bathurst Wholefood Co-operative Limited</t>
  </si>
  <si>
    <t>I have better access to services</t>
  </si>
  <si>
    <t>Bathurst</t>
  </si>
  <si>
    <t>Shop 5 Macquarie Plaza 49 William Street Bathurst 2795</t>
  </si>
  <si>
    <t>I have better access to public transport</t>
  </si>
  <si>
    <t>I feel more able to perform caring duties / volunteer / contribute to the community</t>
  </si>
  <si>
    <t>Name of the housing co-operative.</t>
  </si>
  <si>
    <t>Enjoying better health</t>
  </si>
  <si>
    <t>Working collectively to reduce the environmental impact of the co-operative</t>
  </si>
  <si>
    <t>location</t>
  </si>
  <si>
    <t>I feel more able to start or continue education / training</t>
  </si>
  <si>
    <t>Agriculture, Forestry and Fishery Products</t>
  </si>
  <si>
    <t>Suburb, state, and postcode</t>
  </si>
  <si>
    <t>I feel more able to improve my job situation, e.g. get a better job or a second income</t>
  </si>
  <si>
    <t>Beehive Industries Co-operative Limited</t>
  </si>
  <si>
    <t>I feel more able to reduce paid work</t>
  </si>
  <si>
    <t>Darlinghurst</t>
  </si>
  <si>
    <t>Approximate geographic latitude.</t>
  </si>
  <si>
    <t>137 Palmer Street Darlinghurst 2010</t>
  </si>
  <si>
    <t>Approximate geographic longitude.</t>
  </si>
  <si>
    <t>distance_to_station</t>
  </si>
  <si>
    <t>Distance from the co-operative to the nearest train station in kilometres.</t>
  </si>
  <si>
    <t>Bega Valley Meals on Wheels Co-operative Ltd</t>
  </si>
  <si>
    <t>Bega</t>
  </si>
  <si>
    <t>age_focus</t>
  </si>
  <si>
    <t>101 Bega Street Bega 2550</t>
  </si>
  <si>
    <t>Age groups targeted or accommodated by the co-operative.</t>
  </si>
  <si>
    <t>community_focus</t>
  </si>
  <si>
    <t>Demographic communities served by the co-operative.</t>
  </si>
  <si>
    <t>areas_for_housing_cooperatives</t>
  </si>
  <si>
    <t>Bellinger River and Neighbourhood Housing Co-operative Ltd</t>
  </si>
  <si>
    <t>Sydney sub-region indicators combining housing stress, rental vacancy, and liveability. Used in Persona 3 Question 3 to identify suburbs suitable for new housing co-operative development.</t>
  </si>
  <si>
    <t>Bellingen</t>
  </si>
  <si>
    <t>16 Sunset Ridge Drive Bellingen 2454</t>
  </si>
  <si>
    <t>L</t>
  </si>
  <si>
    <t>Construction Work and Constructions; Land</t>
  </si>
  <si>
    <t>area</t>
  </si>
  <si>
    <t>Beranghi Co-operative Limited</t>
  </si>
  <si>
    <t>Sydney sub-region or grouped LGA area name.</t>
  </si>
  <si>
    <t>Dondingalong</t>
  </si>
  <si>
    <t>257 Loriots Access Dondingalong 2440</t>
  </si>
  <si>
    <t>rent_vacancy_rate_%</t>
  </si>
  <si>
    <t>Percentage of rental properties currently vacant: (Vacant rental properties / Total rental properties) × 100.</t>
  </si>
  <si>
    <t>longtitude</t>
  </si>
  <si>
    <t>number_of_vacancies</t>
  </si>
  <si>
    <t>proximity (km)</t>
  </si>
  <si>
    <t>Absolute count of vacant rental properties in the area.</t>
  </si>
  <si>
    <t>liveability</t>
  </si>
  <si>
    <t>Bermagui Pre School Co-operative Society Limited</t>
  </si>
  <si>
    <t>Composite liveability score for the area. Liveability was calculated based on 13 domains: Community Centres, Culture and Leisure, Early Years, Education, Health and Social Services, Sport and Recreation, Food, Convenience, Walkability, Public Transport, Public Open Space, Housing Affordability, and Local Employment.</t>
  </si>
  <si>
    <t>Bermagui</t>
  </si>
  <si>
    <t>27 Young Street Bermagui 2546</t>
  </si>
  <si>
    <t>housing_stress_%</t>
  </si>
  <si>
    <t xml:space="preserve">Percentage of households spending more than 30% of household income on housing costs. </t>
  </si>
  <si>
    <t>Tech Central</t>
  </si>
  <si>
    <t>Binnowee Kindergarten Co-operative Society Limited</t>
  </si>
  <si>
    <t>precinct</t>
  </si>
  <si>
    <t>West Pennant Hills</t>
  </si>
  <si>
    <t>6 New Line Road West Pennant Hills 2125</t>
  </si>
  <si>
    <t>N/A</t>
  </si>
  <si>
    <t>Blue Mountains Railway Society Co-op. Ltd.</t>
  </si>
  <si>
    <t>Blaxland</t>
  </si>
  <si>
    <t>15 Graeme Street Blaxland 2774</t>
  </si>
  <si>
    <t>Macquarie Park Innovation District</t>
  </si>
  <si>
    <t>ArchiTeam Co-operative Ltd</t>
  </si>
  <si>
    <t>Victoria</t>
  </si>
  <si>
    <t>North Melbourne</t>
  </si>
  <si>
    <t>Suite 16 204-218 Dryburgh Street North Melbourne 3051</t>
  </si>
  <si>
    <t>Business Services; Agricultural, Mining and Manufacturing Services</t>
  </si>
  <si>
    <t>Westmead Health &amp; Innovation Precinct</t>
  </si>
  <si>
    <t>Artery Co-operative Ltd</t>
  </si>
  <si>
    <t>Northcote</t>
  </si>
  <si>
    <t>107 Helen Street Northcote 3070</t>
  </si>
  <si>
    <t>Ballarat &amp; District Aboriginal Co-operative Ltd</t>
  </si>
  <si>
    <t>North Ballarat</t>
  </si>
  <si>
    <t>Randwick Health &amp; Innovation Precinct</t>
  </si>
  <si>
    <t>Bangerang Cultural Centre Co-operative Ltd</t>
  </si>
  <si>
    <t>Shepparton</t>
  </si>
  <si>
    <t>1 Evergreen Way Shepparton 3630</t>
  </si>
  <si>
    <t>Liverpool Innovation Precinct</t>
  </si>
  <si>
    <t>Bendigo District Aboriginal Co-operative Limited</t>
  </si>
  <si>
    <t>Sydney North HealthCARE Innovation Precinct</t>
  </si>
  <si>
    <t>North Bendigo</t>
  </si>
  <si>
    <t>119 Prouses Road North Bendigo 3550</t>
  </si>
  <si>
    <t>I wanted to live in a housing co-op</t>
  </si>
  <si>
    <t>I wanted to live in this housing co-op</t>
  </si>
  <si>
    <t>Bentleigh Early Child Care Education Co-operative Ltd</t>
  </si>
  <si>
    <t>Bentleigh</t>
  </si>
  <si>
    <t>134 Brewer Road Bentleigh 3204</t>
  </si>
  <si>
    <t>John Hunter Health &amp; Innovation Precinct</t>
  </si>
  <si>
    <t>I wanted to live in housing with a special purpose (e.g., Aboriginal housing, women’s housing, or older persons’ housing)</t>
  </si>
  <si>
    <t>It was not important to me whether it was housing co-op or not</t>
  </si>
  <si>
    <t>Brunswick Neighbourhood House Co-op</t>
  </si>
  <si>
    <t>Brunswick</t>
  </si>
  <si>
    <t>43a Decarle Street Brunswick 3056</t>
  </si>
  <si>
    <t>Bankstown Health &amp; Education Precinct</t>
  </si>
  <si>
    <t>Budja Budja Aboriginal Co-operative Limited</t>
  </si>
  <si>
    <t>Halls Gap</t>
  </si>
  <si>
    <t>20-22 Grampians Road Halls Gap 3381</t>
  </si>
  <si>
    <t>Campbelltown Health &amp; Education Precinct</t>
  </si>
  <si>
    <t>CEPA Co-operative Ltd</t>
  </si>
  <si>
    <t>Bendigo</t>
  </si>
  <si>
    <t>4 -10 Stanley Street Bendigo 3550</t>
  </si>
  <si>
    <t>Parramatta Innovation Hub</t>
  </si>
  <si>
    <t>F</t>
  </si>
  <si>
    <t>Trade Services; Hotel and Restaurant Services</t>
  </si>
  <si>
    <t>Castlemaine Child Care Co-operative Ltd</t>
  </si>
  <si>
    <t>Castlemaine</t>
  </si>
  <si>
    <t>17 Templeton Street Castlemaine 3450</t>
  </si>
  <si>
    <t>Western Sydney Aerotropolis</t>
  </si>
  <si>
    <t>Clifton Childcare Co-operative Ltd</t>
  </si>
  <si>
    <t>Fitzroy North</t>
  </si>
  <si>
    <t>121 Rushall Crescent Fitzroy North 3068</t>
  </si>
  <si>
    <t>Culgoa Community Co-operative Ltd</t>
  </si>
  <si>
    <t>Liverpool–Fairfield–Braeside Clinical &amp; Innovation Network</t>
  </si>
  <si>
    <t>Culgoa</t>
  </si>
  <si>
    <t>6 Main Street Culgoa 3530</t>
  </si>
  <si>
    <t>The co-op functions better as an organisation</t>
  </si>
  <si>
    <t>Dandenong &amp; District Aboriginal Co-operative Limited</t>
  </si>
  <si>
    <t>I have become more connected with other members of the co-op</t>
  </si>
  <si>
    <t>Dandenong</t>
  </si>
  <si>
    <t>The buildings and liveability of the co-op have improved</t>
  </si>
  <si>
    <t>62 Stud Road Dandenong 3175</t>
  </si>
  <si>
    <t>I have developed or improved my skills communicating with people from various walks of life</t>
  </si>
  <si>
    <t>Tenants are supported to live in the co-op well</t>
  </si>
  <si>
    <t>coop</t>
  </si>
  <si>
    <t>I have developed or improved my administrative skills</t>
  </si>
  <si>
    <t>I have become more confident in managing group situations and negotiations</t>
  </si>
  <si>
    <t>The co-op has developed a good mix of tenants</t>
  </si>
  <si>
    <t>I have developed or improved my leadership skills</t>
  </si>
  <si>
    <t>Dawson Street Community Child Care Co-operative Ltd</t>
  </si>
  <si>
    <t>I have developed or improved my property maintenance skills</t>
  </si>
  <si>
    <t>I feel more connected to my community/neighbourhood</t>
  </si>
  <si>
    <t>31 Dawson Street Brunswick 3056</t>
  </si>
  <si>
    <t>I have become more connected with other members of the co-op housing sector</t>
  </si>
  <si>
    <t>The grounds or gardens of the co-op have improved</t>
  </si>
  <si>
    <t>I have developed or improved my financial literacy and/or management skills, e.g. budgets</t>
  </si>
  <si>
    <t>I have developed or improved my IT and/or computing skills</t>
  </si>
  <si>
    <t>I have developed or improved my landscaping/gardening skills</t>
  </si>
  <si>
    <t>Other</t>
  </si>
  <si>
    <t>Daylesford Region Ceramics Co-operative Ltd</t>
  </si>
  <si>
    <t>East Street Daylesford 3460</t>
  </si>
  <si>
    <t>Down to Earth (Victoria) Co-operative Society Limited</t>
  </si>
  <si>
    <t>Brunswick East</t>
  </si>
  <si>
    <t>Brunswick East 3057</t>
  </si>
  <si>
    <t>Earthworker Co-operative Ltd</t>
  </si>
  <si>
    <t>Carlton</t>
  </si>
  <si>
    <t>Suite 46 Trades Hall 54 Victoria Street Carlton 3053</t>
  </si>
  <si>
    <t>East Melbourne Child Care Co-operative Ltd</t>
  </si>
  <si>
    <t>East Melbourne</t>
  </si>
  <si>
    <t>Powlett Reserve Cnr Simpson St &amp; Grey St East Melbourne 3002</t>
  </si>
  <si>
    <t>Eltham Child Care Co-operative Ltd</t>
  </si>
  <si>
    <t>Eltham</t>
  </si>
  <si>
    <t>16 Panther Place Eltham 3095</t>
  </si>
  <si>
    <t>Alma Housing Co-operative</t>
  </si>
  <si>
    <t>Greystanes NSW 2145</t>
  </si>
  <si>
    <t>Eltham Woods Child Care Co-operative Ltd</t>
  </si>
  <si>
    <t>50 Frank Street Eltham 3095</t>
  </si>
  <si>
    <t>not_specified</t>
  </si>
  <si>
    <t>Aston Hall Housing Co-operative</t>
  </si>
  <si>
    <t>Surry Hills NSW 2010</t>
  </si>
  <si>
    <t>Low-to-moderate income households</t>
  </si>
  <si>
    <t>Care-N-Co Co-operative</t>
  </si>
  <si>
    <t>Minto NSW 2566</t>
  </si>
  <si>
    <t>Boyup Brook Co-operative Company Ltd</t>
  </si>
  <si>
    <t>Western Australia</t>
  </si>
  <si>
    <t>Boyup Brook</t>
  </si>
  <si>
    <t>People with disability</t>
  </si>
  <si>
    <t>10-12 Bridge Street Boyup Brook 6244</t>
  </si>
  <si>
    <t>CHOISES (Coogee)</t>
  </si>
  <si>
    <t>Coogee NSW 2034</t>
  </si>
  <si>
    <t>A</t>
  </si>
  <si>
    <t>CHOISES (Randwick)</t>
  </si>
  <si>
    <t>Randwick NSW 2031</t>
  </si>
  <si>
    <t>Co-operative Bulk Handling Ltd</t>
  </si>
  <si>
    <t>Perth</t>
  </si>
  <si>
    <t>Eastern Suburbs</t>
  </si>
  <si>
    <t>Level 6 240 St Georges Terrace Perth 6000</t>
  </si>
  <si>
    <t>Dunroamin Housing Co-operative (Croydon)</t>
  </si>
  <si>
    <t>Croydon NSW 2132</t>
  </si>
  <si>
    <t>Inner West</t>
  </si>
  <si>
    <t>Dunroamin Housing Co-operative (Gladesville)</t>
  </si>
  <si>
    <t>Gladesville NSW 2111</t>
  </si>
  <si>
    <t>Parramatta</t>
  </si>
  <si>
    <t>Cocos Islands Co-operative Society Ltd</t>
  </si>
  <si>
    <t>South Western Sydney</t>
  </si>
  <si>
    <t>Dunroamin Housing Co-operative (Haberfield)</t>
  </si>
  <si>
    <t>West Island Cocos (Keeling) Islands</t>
  </si>
  <si>
    <t>Haberfield NSW 2045</t>
  </si>
  <si>
    <t>Sydney Highway, West Island Cocos (Keeling Islands)</t>
  </si>
  <si>
    <t>Sutherland Shire</t>
  </si>
  <si>
    <t>Emoh Ruo Housing Co-operative</t>
  </si>
  <si>
    <t>Sydney CBD</t>
  </si>
  <si>
    <t>Erskineville NSW 2043</t>
  </si>
  <si>
    <t>H</t>
  </si>
  <si>
    <t>Lower North Shore</t>
  </si>
  <si>
    <t>Adults - aged 25 to under 65
Adults - aged 65 and over
Children - aged 6 to under 15
Early childhood - aged under 6</t>
  </si>
  <si>
    <t>Families
Females
People experiencing financial disadvantage
Males
People at risk of homelessness/ people experiencing homelessness
People from a culturally and linguistically diverse background
People with disabilities
Unemployed persons
Veterans and/or their families
Youth - 15 to under 25</t>
  </si>
  <si>
    <t>Extended Family Housing Co-operative (Petersham)</t>
  </si>
  <si>
    <t>The Hills District</t>
  </si>
  <si>
    <t>Engineering and Manufacturing Industry Co-operative Limited</t>
  </si>
  <si>
    <t>Petersham NSW 2049</t>
  </si>
  <si>
    <t>Bellevue</t>
  </si>
  <si>
    <t>Canterbury-Bankstown</t>
  </si>
  <si>
    <t>6 Wildon Street Bellevue 6056</t>
  </si>
  <si>
    <t>Families
People experiencing financial disadvantage
General community in Australia
People at risk of homelessness/ people experiencing homelessness</t>
  </si>
  <si>
    <t>Extended Family Housing Co-operative (Marrickville)</t>
  </si>
  <si>
    <t>Liverpool</t>
  </si>
  <si>
    <t>Marrickville NSW 2204</t>
  </si>
  <si>
    <t>St George</t>
  </si>
  <si>
    <t xml:space="preserve">Tech Central </t>
  </si>
  <si>
    <t>Extended Family Housing Co-operative (Dulwich Hill)</t>
  </si>
  <si>
    <t>Western Sydney</t>
  </si>
  <si>
    <t>Dulwich Hill NSW 2203</t>
  </si>
  <si>
    <t>Gascoyne Water Asset Mutual Co-operative Ltd</t>
  </si>
  <si>
    <t>Carnarvon</t>
  </si>
  <si>
    <t>Wollongong</t>
  </si>
  <si>
    <t>50 Boundary Road Carnarvon 6701</t>
  </si>
  <si>
    <t>Central Coast</t>
  </si>
  <si>
    <t>Extended Family Housing Co-operative (Concord West)</t>
  </si>
  <si>
    <t>Concord West NSW 2138</t>
  </si>
  <si>
    <t>Northern Beaches</t>
  </si>
  <si>
    <t>D</t>
  </si>
  <si>
    <t>Upper North Shore</t>
  </si>
  <si>
    <t>Ores and Minerals; Electricity, Gas and Water</t>
  </si>
  <si>
    <t>Gascoyne Water Co-operative Ltd</t>
  </si>
  <si>
    <t>Garanga Housing Co-operative</t>
  </si>
  <si>
    <t>Newtown NSW 2042</t>
  </si>
  <si>
    <t>Adults - aged 25 to under 65</t>
  </si>
  <si>
    <t>Females
Males
People at risk of homelessness/ people experiencing homelessness
People from a culturally and linguistically diverse background
People with chronic illness (including terminal illness)</t>
  </si>
  <si>
    <t>Hindu Community Co-operative</t>
  </si>
  <si>
    <t>North Parramatta NSW 2151</t>
  </si>
  <si>
    <t>Adults - aged 65 and over</t>
  </si>
  <si>
    <t>Geraldton Organised Primary Producers Co-operative Ltd</t>
  </si>
  <si>
    <t>Kapit-Bahayan Co-operative</t>
  </si>
  <si>
    <t>Auburn NSW 2144</t>
  </si>
  <si>
    <t>Moresby</t>
  </si>
  <si>
    <t>33 Stuart Road Moresby 6530</t>
  </si>
  <si>
    <t>Families
People experiencing financial disadvantage
People at risk of homelessness/ people experiencing homelessness
People from a culturally and linguistically diverse background</t>
  </si>
  <si>
    <t>Lac Viet Housing Co-operative</t>
  </si>
  <si>
    <t>Canley Heights NSW 2166</t>
  </si>
  <si>
    <t>Adults - aged 25 to under 65
Adults - aged 65 and over</t>
  </si>
  <si>
    <t>Families
Females
People experiencing financial disadvantage
Males
People from a culturally and linguistically diverse background
People with disabilities
Unemployed persons
Veterans and/or their families</t>
  </si>
  <si>
    <t>Marrickville Arabic Co-operative</t>
  </si>
  <si>
    <t>Mount Barker Co-operative Limited</t>
  </si>
  <si>
    <t>no_aligned_sampled_precinct_identified</t>
  </si>
  <si>
    <t>Mount Barker</t>
  </si>
  <si>
    <t>14 Lowood Road Mount Barker 6324</t>
  </si>
  <si>
    <t>People experiencing financial disadvantage
General community in Australia
People at risk of homelessness/ people experiencing homelessness
People from a culturally and linguistically diverse background</t>
  </si>
  <si>
    <t>Ningana Housing Collective Ltd</t>
  </si>
  <si>
    <t>Annandale NSW 2038</t>
  </si>
  <si>
    <t>People experiencing financial disadvantage
General community in Australia
People at risk of homelessness/ people experiencing homelessness
People from a culturally and linguistically diverse background
Unemployed persons</t>
  </si>
  <si>
    <t>Palace Women's Housing Co-operative</t>
  </si>
  <si>
    <t>Ord River District Co-operative Limited</t>
  </si>
  <si>
    <t>Females
People experiencing financial disadvantage
People at risk of homelessness/ people experiencing homelessness
People from a culturally and linguistically diverse background</t>
  </si>
  <si>
    <t>Planet X Housing</t>
  </si>
  <si>
    <t>Kununurra</t>
  </si>
  <si>
    <t>Chippendale NSW 2008</t>
  </si>
  <si>
    <t>672 Weaber Plains Road Kununurra 6743</t>
  </si>
  <si>
    <t>People experiencing financial disadvantage
People at risk of homelessness/ people experiencing homelessness</t>
  </si>
  <si>
    <t>Sedgwick Housing</t>
  </si>
  <si>
    <t>Leumeah NSW 2560</t>
  </si>
  <si>
    <t>Surcoop Co-operative</t>
  </si>
  <si>
    <t>Wetherill Park NSW 2164</t>
  </si>
  <si>
    <t>Organic and Biodynamic Meats Co-operative Limited</t>
  </si>
  <si>
    <t>Donnybrook</t>
  </si>
  <si>
    <t>980 Charley Creek RoadÂ Donnybrook 6239</t>
  </si>
  <si>
    <t>Sutherland Womens Independent Tenancy Co-operative (SWITCH)</t>
  </si>
  <si>
    <t>Miranda NSW 2228</t>
  </si>
  <si>
    <t>Tamil Senior Citizen's Housing Co-op</t>
  </si>
  <si>
    <t xml:space="preserve">Homebush NSW 2140 </t>
  </si>
  <si>
    <t>Food Products, Beverages and Tobacco</t>
  </si>
  <si>
    <t>South West Irrigation Asset Co-operative Limited</t>
  </si>
  <si>
    <t>Van Lang Houisng Co-operative</t>
  </si>
  <si>
    <t>Cabramatta NSW 2166</t>
  </si>
  <si>
    <t>Harvey</t>
  </si>
  <si>
    <t>1 Turnbull St Harvey 6220</t>
  </si>
  <si>
    <t>Villa Alegre Housing Co-operative</t>
  </si>
  <si>
    <t xml:space="preserve">Fairfield West NSW 2165 </t>
  </si>
  <si>
    <t>Families
Females
People experiencing financial disadvantage
Males
People at risk of homelessness/ people experiencing homelessness
People with chronic illness (including terminal illness)
People with disabilities
Unemployed persons
Youth - 15 to under 25</t>
  </si>
  <si>
    <t>Waverley Area Tenants for Co-operative Housing (WATCH)</t>
  </si>
  <si>
    <t>Bondi Beach NSW 2026</t>
  </si>
  <si>
    <t>South West Irrigation Management Co-operative Limited</t>
  </si>
  <si>
    <t xml:space="preserve">Adults - aged 25 to under 65
Adults - aged 65 and over
</t>
  </si>
  <si>
    <t>People experiencing financial disadvantage
General community in Australia
People at risk of homelessness/ people experiencing homelessness</t>
  </si>
  <si>
    <t>Whispering Hope Housing Co-op</t>
  </si>
  <si>
    <t>Mascot NSW 2020</t>
  </si>
  <si>
    <t>United Crate Co-operative Limited</t>
  </si>
  <si>
    <t>Canning Vale</t>
  </si>
  <si>
    <t>1 Zanni Street Canning Vale 6155</t>
  </si>
  <si>
    <t>Wesbuilders Co-operative Limited</t>
  </si>
  <si>
    <t>South Perth</t>
  </si>
  <si>
    <t>Suite 1 Peer House, 2 Canning Highway South Perth 6151</t>
  </si>
  <si>
    <t>E</t>
  </si>
  <si>
    <t>Western Australian Meat Marketing Co-operative Limited</t>
  </si>
  <si>
    <t>East Perth</t>
  </si>
  <si>
    <t>Unit 1, 3 De Vlamigh Ave East Perth 6004</t>
  </si>
  <si>
    <t>Upatree Arts Co-operative Ltd</t>
  </si>
  <si>
    <t>Queensland</t>
  </si>
  <si>
    <t>Mt Nebo</t>
  </si>
  <si>
    <t>Mt Nebo Brisbane 4520</t>
  </si>
  <si>
    <t>Bundaberg Fruit and Vegetable Growers Co-operative Ltd</t>
  </si>
  <si>
    <t>Bundaberg</t>
  </si>
  <si>
    <t>23 Enterprise Street Bundaberg 4670</t>
  </si>
  <si>
    <t>Community Foods Co-operative Ltd</t>
  </si>
  <si>
    <t>Cairns</t>
  </si>
  <si>
    <t>Shop 9 Oceana Walk 62 Grafton Street Cairns 4870</t>
  </si>
  <si>
    <t>Community Praxis Co-operative Ltd</t>
  </si>
  <si>
    <t>Maleny</t>
  </si>
  <si>
    <t>Maleny 4552</t>
  </si>
  <si>
    <t>Coochin Creek Fruitgrowers Co-operative Association Ltd</t>
  </si>
  <si>
    <t>Beewah</t>
  </si>
  <si>
    <t>39 Simpson Street Beerwah 4519</t>
  </si>
  <si>
    <t>Metal Products, Machinery and Equipment</t>
  </si>
  <si>
    <t>Crystal Waters Community Co-operative Ltd</t>
  </si>
  <si>
    <t>Conondale</t>
  </si>
  <si>
    <t>65 Kilcoy Lane Conondale 4552</t>
  </si>
  <si>
    <t>S</t>
  </si>
  <si>
    <t>Property and Business Services</t>
  </si>
  <si>
    <t>Daintree Marketing Co-operative Ltd</t>
  </si>
  <si>
    <t>Daintree</t>
  </si>
  <si>
    <t>Daintree 4873</t>
  </si>
  <si>
    <t>Drayton Crafters Co-operative Ltd</t>
  </si>
  <si>
    <t>Drayton</t>
  </si>
  <si>
    <t>42 Brisbane Street Drayton 4352</t>
  </si>
  <si>
    <t>Esk District Co-operative Ltd</t>
  </si>
  <si>
    <t>Esk</t>
  </si>
  <si>
    <t>101 Ipswich Street Esk 4312</t>
  </si>
  <si>
    <t>Friends of the Earth-Brisbane Co-operative Ltd</t>
  </si>
  <si>
    <t>Woolloongabba</t>
  </si>
  <si>
    <t>20 Burke Street Woolloongabba 4102</t>
  </si>
  <si>
    <t>Ashton Co-operative Society Ltd</t>
  </si>
  <si>
    <t>South Australia</t>
  </si>
  <si>
    <t>Ashton</t>
  </si>
  <si>
    <t>Woods Hill Road Ashton 5137</t>
  </si>
  <si>
    <t>CCW Co-operative Limited</t>
  </si>
  <si>
    <t>Glossop</t>
  </si>
  <si>
    <t>9 Battams Road Glossop 5344</t>
  </si>
  <si>
    <t>Co-operative Taxi Cabs Society Ltd</t>
  </si>
  <si>
    <t>Mile End</t>
  </si>
  <si>
    <t>99 Henley Beach Road Mile End 5031</t>
  </si>
  <si>
    <t>Lenswood Cold Stores Co-operative Ltd</t>
  </si>
  <si>
    <t>Lenswood</t>
  </si>
  <si>
    <t>9 Cold Store Road Lenswood 5240</t>
  </si>
  <si>
    <t>Master Butchers Co-operatives</t>
  </si>
  <si>
    <t>Athol Park</t>
  </si>
  <si>
    <t xml:space="preserve">203-215 Hanson Road Athol Park 5012
</t>
  </si>
  <si>
    <t>Cohousing Co-operative Society Ltd</t>
  </si>
  <si>
    <t>Tasmania</t>
  </si>
  <si>
    <t>South Hobart</t>
  </si>
  <si>
    <t>201 Strickland Ave South Hobart 7004</t>
  </si>
  <si>
    <t>Designer Crafts Co-operative Society Ltd</t>
  </si>
  <si>
    <t>Hobart</t>
  </si>
  <si>
    <t>Shop 9 77 Salamanca Place Hobart 7000</t>
  </si>
  <si>
    <t>Resource Work Co-operative Society Ltd</t>
  </si>
  <si>
    <t>McRobies Gully Waste Management Centre, McRobies Road South Hobart 7004</t>
  </si>
  <si>
    <t>Builders Trading Co-operative Limited</t>
  </si>
  <si>
    <t>Australian Capital Territory</t>
  </si>
  <si>
    <t>Fyshwick</t>
  </si>
  <si>
    <t>31 Yallourn Street Fyshwick 2609</t>
  </si>
  <si>
    <t>Canberra Student Housing Co-op Ltd</t>
  </si>
  <si>
    <t>Turner</t>
  </si>
  <si>
    <t>85 Northbourne Ave Turner ACT 2612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</si>
</sst>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sz val="10.0"/>
      <color rgb="FF000000"/>
      <name val="Arial"/>
    </font>
    <font>
      <color theme="1"/>
      <name val="Arial"/>
    </font>
    <font>
      <color rgb="FF1F1F1F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1C8F"/>
        <bgColor rgb="FF1A1C8F"/>
      </patternFill>
    </fill>
    <fill>
      <patternFill patternType="solid">
        <fgColor rgb="FFC9DAF8"/>
        <bgColor rgb="FFC9DAF8"/>
      </patternFill>
    </fill>
    <fill>
      <patternFill patternType="solid">
        <fgColor rgb="FF134F5C"/>
        <bgColor rgb="FF134F5C"/>
      </patternFill>
    </fill>
    <fill>
      <patternFill patternType="solid">
        <fgColor rgb="FF1F4E79"/>
        <bgColor rgb="FF1F4E7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vertical="top"/>
    </xf>
    <xf borderId="1" fillId="3" fontId="2" numFmtId="0" xfId="0" applyAlignment="1" applyBorder="1" applyFont="1">
      <alignment readingOrder="0" shrinkToFit="0" vertical="top" wrapText="1"/>
    </xf>
    <xf borderId="0" fillId="4" fontId="3" numFmtId="0" xfId="0" applyAlignment="1" applyFill="1" applyFont="1">
      <alignment readingOrder="0"/>
    </xf>
    <xf borderId="0" fillId="3" fontId="4" numFmtId="0" xfId="0" applyFont="1"/>
    <xf borderId="0" fillId="4" fontId="5" numFmtId="0" xfId="0" applyAlignment="1" applyFont="1">
      <alignment readingOrder="0"/>
    </xf>
    <xf borderId="0" fillId="5" fontId="6" numFmtId="0" xfId="0" applyAlignment="1" applyFill="1" applyFont="1">
      <alignment horizontal="center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5" fontId="3" numFmtId="0" xfId="0" applyAlignment="1" applyFont="1">
      <alignment readingOrder="0" vertical="bottom"/>
    </xf>
    <xf borderId="0" fillId="5" fontId="6" numFmtId="0" xfId="0" applyAlignment="1" applyFont="1">
      <alignment horizontal="center" readingOrder="0" vertical="bottom"/>
    </xf>
    <xf borderId="1" fillId="0" fontId="2" numFmtId="0" xfId="0" applyAlignment="1" applyBorder="1" applyFont="1">
      <alignment readingOrder="0" vertical="top"/>
    </xf>
    <xf borderId="0" fillId="5" fontId="3" numFmtId="0" xfId="0" applyAlignment="1" applyFont="1">
      <alignment horizontal="right" readingOrder="0" vertical="bottom"/>
    </xf>
    <xf borderId="1" fillId="0" fontId="2" numFmtId="0" xfId="0" applyAlignment="1" applyBorder="1" applyFont="1">
      <alignment readingOrder="0" shrinkToFit="0" vertical="top" wrapText="1"/>
    </xf>
    <xf borderId="0" fillId="5" fontId="3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7" fontId="4" numFmtId="2" xfId="0" applyAlignment="1" applyFill="1" applyFont="1" applyNumberFormat="1">
      <alignment horizontal="right" readingOrder="0" vertical="bottom"/>
    </xf>
    <xf borderId="0" fillId="6" fontId="6" numFmtId="0" xfId="0" applyAlignment="1" applyFont="1">
      <alignment horizontal="center" readingOrder="0" vertical="bottom"/>
    </xf>
    <xf borderId="0" fillId="6" fontId="6" numFmtId="0" xfId="0" applyAlignment="1" applyFont="1">
      <alignment horizontal="center" vertical="bottom"/>
    </xf>
    <xf borderId="0" fillId="6" fontId="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4" numFmtId="2" xfId="0" applyFont="1" applyNumberFormat="1"/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2" fillId="7" fontId="4" numFmtId="2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2" fillId="0" fontId="4" numFmtId="0" xfId="0" applyAlignment="1" applyBorder="1" applyFont="1">
      <alignment horizontal="right" vertical="bottom"/>
    </xf>
    <xf borderId="0" fillId="0" fontId="8" numFmtId="0" xfId="0" applyAlignment="1" applyFont="1">
      <alignment readingOrder="0" vertical="bottom"/>
    </xf>
    <xf borderId="0" fillId="7" fontId="9" numFmtId="0" xfId="0" applyAlignment="1" applyFont="1">
      <alignment horizontal="right" readingOrder="0" shrinkToFit="0" wrapText="0"/>
    </xf>
    <xf borderId="0" fillId="0" fontId="10" numFmtId="0" xfId="0" applyAlignment="1" applyFont="1">
      <alignment vertical="bottom"/>
    </xf>
    <xf borderId="0" fillId="7" fontId="8" numFmtId="0" xfId="0" applyAlignment="1" applyFont="1">
      <alignment vertical="bottom"/>
    </xf>
    <xf borderId="0" fillId="5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9" numFmtId="0" xfId="0" applyAlignment="1" applyFont="1">
      <alignment horizontal="right" readingOrder="0" shrinkToFit="0" wrapText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5" fontId="5" numFmtId="0" xfId="0" applyAlignment="1" applyFont="1">
      <alignment readingOrder="0" vertical="bottom"/>
    </xf>
    <xf borderId="0" fillId="7" fontId="9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7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21.13"/>
    <col customWidth="1" min="3" max="3" width="133.25"/>
    <col customWidth="1" min="4" max="4" width="5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12" t="s">
        <v>4</v>
      </c>
      <c r="B3" s="12" t="s">
        <v>7</v>
      </c>
      <c r="C3" s="14" t="s">
        <v>20</v>
      </c>
      <c r="D3" s="12" t="s">
        <v>23</v>
      </c>
    </row>
    <row r="4">
      <c r="A4" s="12" t="s">
        <v>4</v>
      </c>
      <c r="B4" s="12" t="s">
        <v>14</v>
      </c>
      <c r="C4" s="14" t="s">
        <v>28</v>
      </c>
      <c r="D4" s="12" t="s">
        <v>30</v>
      </c>
    </row>
    <row r="5">
      <c r="A5" s="12" t="s">
        <v>4</v>
      </c>
      <c r="B5" s="12" t="s">
        <v>15</v>
      </c>
      <c r="C5" s="14" t="s">
        <v>34</v>
      </c>
      <c r="D5" s="12" t="s">
        <v>30</v>
      </c>
    </row>
    <row r="6">
      <c r="A6" s="12" t="s">
        <v>4</v>
      </c>
      <c r="B6" s="12" t="s">
        <v>8</v>
      </c>
      <c r="C6" s="14" t="s">
        <v>39</v>
      </c>
      <c r="D6" s="12" t="s">
        <v>30</v>
      </c>
    </row>
    <row r="7">
      <c r="A7" s="12" t="s">
        <v>4</v>
      </c>
      <c r="B7" s="12" t="s">
        <v>19</v>
      </c>
      <c r="C7" s="14" t="s">
        <v>45</v>
      </c>
      <c r="D7" s="12" t="s">
        <v>30</v>
      </c>
    </row>
    <row r="8">
      <c r="A8" s="12" t="s">
        <v>4</v>
      </c>
      <c r="B8" s="12" t="s">
        <v>25</v>
      </c>
      <c r="C8" s="14" t="s">
        <v>48</v>
      </c>
      <c r="D8" s="12" t="s">
        <v>30</v>
      </c>
    </row>
    <row r="9">
      <c r="A9" s="12" t="s">
        <v>4</v>
      </c>
      <c r="B9" s="12" t="s">
        <v>27</v>
      </c>
      <c r="C9" s="14" t="s">
        <v>54</v>
      </c>
      <c r="D9" s="12" t="s">
        <v>55</v>
      </c>
    </row>
    <row r="10">
      <c r="A10" s="12" t="s">
        <v>4</v>
      </c>
      <c r="B10" s="12" t="s">
        <v>29</v>
      </c>
      <c r="C10" s="14" t="s">
        <v>57</v>
      </c>
      <c r="D10" s="12" t="s">
        <v>55</v>
      </c>
    </row>
    <row r="11">
      <c r="A11" s="12" t="s">
        <v>4</v>
      </c>
      <c r="B11" s="12" t="s">
        <v>33</v>
      </c>
      <c r="C11" s="14" t="s">
        <v>61</v>
      </c>
      <c r="D11" s="12" t="s">
        <v>62</v>
      </c>
    </row>
    <row r="12">
      <c r="A12" s="12" t="s">
        <v>4</v>
      </c>
      <c r="B12" s="12" t="s">
        <v>35</v>
      </c>
      <c r="C12" s="14" t="s">
        <v>65</v>
      </c>
      <c r="D12" s="12" t="s">
        <v>62</v>
      </c>
    </row>
    <row r="13">
      <c r="A13" s="12" t="s">
        <v>4</v>
      </c>
      <c r="B13" s="12" t="s">
        <v>37</v>
      </c>
      <c r="C13" s="14" t="s">
        <v>67</v>
      </c>
      <c r="D13" s="12" t="s">
        <v>62</v>
      </c>
    </row>
    <row r="14">
      <c r="A14" s="12" t="s">
        <v>4</v>
      </c>
      <c r="B14" s="12" t="s">
        <v>38</v>
      </c>
      <c r="C14" s="14" t="s">
        <v>70</v>
      </c>
      <c r="D14" s="12" t="s">
        <v>62</v>
      </c>
    </row>
    <row r="15">
      <c r="A15" s="12" t="s">
        <v>4</v>
      </c>
      <c r="B15" s="12" t="s">
        <v>41</v>
      </c>
      <c r="C15" s="14" t="s">
        <v>75</v>
      </c>
      <c r="D15" s="12" t="s">
        <v>62</v>
      </c>
    </row>
    <row r="16">
      <c r="A16" s="12" t="s">
        <v>4</v>
      </c>
      <c r="B16" s="12" t="s">
        <v>42</v>
      </c>
      <c r="C16" s="14" t="s">
        <v>78</v>
      </c>
      <c r="D16" s="12" t="s">
        <v>62</v>
      </c>
    </row>
    <row r="17">
      <c r="A17" s="12" t="s">
        <v>4</v>
      </c>
      <c r="B17" s="12" t="s">
        <v>43</v>
      </c>
      <c r="C17" s="14" t="s">
        <v>83</v>
      </c>
      <c r="D17" s="12" t="s">
        <v>62</v>
      </c>
    </row>
    <row r="18">
      <c r="A18" s="12" t="s">
        <v>4</v>
      </c>
      <c r="B18" s="12" t="s">
        <v>46</v>
      </c>
      <c r="C18" s="14" t="s">
        <v>85</v>
      </c>
      <c r="D18" s="12" t="s">
        <v>30</v>
      </c>
    </row>
    <row r="19">
      <c r="A19" s="12" t="s">
        <v>4</v>
      </c>
      <c r="B19" s="12" t="s">
        <v>9</v>
      </c>
      <c r="C19" s="14" t="s">
        <v>88</v>
      </c>
      <c r="D19" s="12" t="s">
        <v>30</v>
      </c>
    </row>
    <row r="20">
      <c r="A20" s="12" t="s">
        <v>4</v>
      </c>
      <c r="B20" s="12" t="s">
        <v>50</v>
      </c>
      <c r="C20" s="14" t="s">
        <v>91</v>
      </c>
      <c r="D20" s="12" t="s">
        <v>30</v>
      </c>
    </row>
    <row r="21">
      <c r="A21" s="12" t="s">
        <v>4</v>
      </c>
      <c r="B21" s="12" t="s">
        <v>51</v>
      </c>
      <c r="C21" s="14" t="s">
        <v>95</v>
      </c>
      <c r="D21" s="12" t="s">
        <v>23</v>
      </c>
    </row>
    <row r="22">
      <c r="A22" s="12" t="s">
        <v>4</v>
      </c>
      <c r="B22" s="12" t="s">
        <v>53</v>
      </c>
      <c r="C22" s="14" t="s">
        <v>97</v>
      </c>
      <c r="D22" s="12" t="s">
        <v>30</v>
      </c>
    </row>
    <row r="23">
      <c r="A23" s="2" t="s">
        <v>99</v>
      </c>
      <c r="B23" s="2" t="s">
        <v>5</v>
      </c>
      <c r="C23" s="3" t="s">
        <v>102</v>
      </c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12" t="s">
        <v>99</v>
      </c>
      <c r="B24" s="12" t="s">
        <v>9</v>
      </c>
      <c r="C24" s="14" t="s">
        <v>107</v>
      </c>
      <c r="D24" s="12" t="s">
        <v>30</v>
      </c>
    </row>
    <row r="25">
      <c r="A25" s="12" t="s">
        <v>99</v>
      </c>
      <c r="B25" s="12" t="s">
        <v>10</v>
      </c>
      <c r="C25" s="14" t="s">
        <v>108</v>
      </c>
      <c r="D25" s="12" t="s">
        <v>109</v>
      </c>
    </row>
    <row r="26">
      <c r="A26" s="12" t="s">
        <v>99</v>
      </c>
      <c r="B26" s="12" t="s">
        <v>11</v>
      </c>
      <c r="C26" s="14" t="s">
        <v>111</v>
      </c>
      <c r="D26" s="12" t="s">
        <v>109</v>
      </c>
    </row>
    <row r="27">
      <c r="A27" s="12" t="s">
        <v>99</v>
      </c>
      <c r="B27" s="12" t="s">
        <v>114</v>
      </c>
      <c r="C27" s="14" t="s">
        <v>115</v>
      </c>
      <c r="D27" s="12" t="s">
        <v>109</v>
      </c>
    </row>
    <row r="28">
      <c r="A28" s="2" t="s">
        <v>116</v>
      </c>
      <c r="B28" s="2" t="s">
        <v>5</v>
      </c>
      <c r="C28" s="3" t="s">
        <v>117</v>
      </c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2" t="s">
        <v>116</v>
      </c>
      <c r="B29" s="12" t="s">
        <v>8</v>
      </c>
      <c r="C29" s="14" t="s">
        <v>123</v>
      </c>
      <c r="D29" s="12" t="s">
        <v>30</v>
      </c>
    </row>
    <row r="30">
      <c r="A30" s="12" t="s">
        <v>116</v>
      </c>
      <c r="B30" s="12" t="s">
        <v>18</v>
      </c>
      <c r="C30" s="14" t="s">
        <v>124</v>
      </c>
      <c r="D30" s="12" t="s">
        <v>109</v>
      </c>
    </row>
    <row r="31">
      <c r="A31" s="12" t="s">
        <v>116</v>
      </c>
      <c r="B31" s="12" t="s">
        <v>21</v>
      </c>
      <c r="C31" s="14" t="s">
        <v>126</v>
      </c>
      <c r="D31" s="12" t="s">
        <v>109</v>
      </c>
    </row>
    <row r="32">
      <c r="A32" s="12" t="s">
        <v>116</v>
      </c>
      <c r="B32" s="12" t="s">
        <v>24</v>
      </c>
      <c r="C32" s="14" t="s">
        <v>130</v>
      </c>
      <c r="D32" s="12" t="s">
        <v>55</v>
      </c>
    </row>
    <row r="33">
      <c r="A33" s="12" t="s">
        <v>116</v>
      </c>
      <c r="B33" s="12" t="s">
        <v>26</v>
      </c>
      <c r="C33" s="14" t="s">
        <v>132</v>
      </c>
      <c r="D33" s="12" t="s">
        <v>55</v>
      </c>
    </row>
    <row r="34">
      <c r="A34" s="2" t="s">
        <v>134</v>
      </c>
      <c r="B34" s="2" t="s">
        <v>5</v>
      </c>
      <c r="C34" s="3" t="s">
        <v>135</v>
      </c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2" t="s">
        <v>134</v>
      </c>
      <c r="B35" s="12" t="s">
        <v>139</v>
      </c>
      <c r="C35" s="14" t="s">
        <v>140</v>
      </c>
      <c r="D35" s="12" t="s">
        <v>30</v>
      </c>
    </row>
    <row r="36">
      <c r="A36" s="12" t="s">
        <v>134</v>
      </c>
      <c r="B36" s="12" t="s">
        <v>142</v>
      </c>
      <c r="C36" s="14" t="s">
        <v>144</v>
      </c>
      <c r="D36" s="12" t="s">
        <v>30</v>
      </c>
    </row>
    <row r="37">
      <c r="A37" s="12" t="s">
        <v>134</v>
      </c>
      <c r="B37" s="12" t="s">
        <v>146</v>
      </c>
      <c r="C37" s="14" t="s">
        <v>147</v>
      </c>
      <c r="D37" s="12" t="s">
        <v>30</v>
      </c>
    </row>
    <row r="38">
      <c r="A38" s="12" t="s">
        <v>134</v>
      </c>
      <c r="B38" s="12" t="s">
        <v>27</v>
      </c>
      <c r="C38" s="14" t="s">
        <v>148</v>
      </c>
      <c r="D38" s="12" t="s">
        <v>55</v>
      </c>
    </row>
    <row r="39">
      <c r="A39" s="12" t="s">
        <v>134</v>
      </c>
      <c r="B39" s="12" t="s">
        <v>29</v>
      </c>
      <c r="C39" s="14" t="s">
        <v>152</v>
      </c>
      <c r="D39" s="12" t="s">
        <v>55</v>
      </c>
    </row>
    <row r="40">
      <c r="A40" s="12" t="s">
        <v>134</v>
      </c>
      <c r="B40" s="12" t="s">
        <v>153</v>
      </c>
      <c r="C40" s="14" t="s">
        <v>154</v>
      </c>
      <c r="D40" s="12" t="s">
        <v>55</v>
      </c>
    </row>
    <row r="41">
      <c r="A41" s="12" t="s">
        <v>134</v>
      </c>
      <c r="B41" s="12" t="s">
        <v>156</v>
      </c>
      <c r="C41" s="14" t="s">
        <v>158</v>
      </c>
      <c r="D41" s="12" t="s">
        <v>160</v>
      </c>
    </row>
    <row r="42">
      <c r="A42" s="12" t="s">
        <v>134</v>
      </c>
      <c r="B42" s="12" t="s">
        <v>9</v>
      </c>
      <c r="C42" s="14" t="s">
        <v>161</v>
      </c>
      <c r="D42" s="12" t="s">
        <v>30</v>
      </c>
    </row>
    <row r="43">
      <c r="A43" s="12" t="s">
        <v>134</v>
      </c>
      <c r="B43" s="12" t="s">
        <v>162</v>
      </c>
      <c r="C43" s="14" t="s">
        <v>163</v>
      </c>
      <c r="D43" s="12" t="s">
        <v>55</v>
      </c>
    </row>
    <row r="44">
      <c r="A44" s="2" t="s">
        <v>165</v>
      </c>
      <c r="B44" s="2" t="s">
        <v>5</v>
      </c>
      <c r="C44" s="3" t="s">
        <v>168</v>
      </c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2" t="s">
        <v>165</v>
      </c>
      <c r="B45" s="12" t="s">
        <v>170</v>
      </c>
      <c r="C45" s="14" t="s">
        <v>171</v>
      </c>
      <c r="D45" s="12" t="s">
        <v>30</v>
      </c>
    </row>
    <row r="46">
      <c r="A46" s="12" t="s">
        <v>165</v>
      </c>
      <c r="B46" s="12" t="s">
        <v>175</v>
      </c>
      <c r="C46" s="14" t="s">
        <v>176</v>
      </c>
      <c r="D46" s="12" t="s">
        <v>23</v>
      </c>
    </row>
    <row r="47">
      <c r="A47" s="12" t="s">
        <v>165</v>
      </c>
      <c r="B47" s="12" t="s">
        <v>177</v>
      </c>
      <c r="C47" s="14" t="s">
        <v>178</v>
      </c>
      <c r="D47" s="12" t="s">
        <v>23</v>
      </c>
    </row>
    <row r="48">
      <c r="A48" s="12" t="s">
        <v>165</v>
      </c>
      <c r="B48" s="12" t="s">
        <v>179</v>
      </c>
      <c r="C48" s="14" t="s">
        <v>180</v>
      </c>
      <c r="D48" s="12" t="s">
        <v>23</v>
      </c>
    </row>
    <row r="49">
      <c r="A49" s="12" t="s">
        <v>165</v>
      </c>
      <c r="B49" s="12" t="s">
        <v>183</v>
      </c>
      <c r="C49" s="14" t="s">
        <v>185</v>
      </c>
      <c r="D49" s="12" t="s">
        <v>23</v>
      </c>
    </row>
    <row r="50">
      <c r="A50" s="2" t="s">
        <v>186</v>
      </c>
      <c r="B50" s="2" t="s">
        <v>5</v>
      </c>
      <c r="C50" s="3" t="s">
        <v>187</v>
      </c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2" t="s">
        <v>186</v>
      </c>
      <c r="B51" s="12" t="s">
        <v>191</v>
      </c>
      <c r="C51" s="14" t="s">
        <v>192</v>
      </c>
      <c r="D51" s="12" t="s">
        <v>30</v>
      </c>
    </row>
    <row r="52">
      <c r="A52" s="12" t="s">
        <v>186</v>
      </c>
      <c r="B52" s="12" t="s">
        <v>193</v>
      </c>
      <c r="C52" s="14" t="s">
        <v>194</v>
      </c>
      <c r="D52" s="12" t="s">
        <v>23</v>
      </c>
    </row>
    <row r="53">
      <c r="A53" s="2" t="s">
        <v>196</v>
      </c>
      <c r="B53" s="2" t="s">
        <v>5</v>
      </c>
      <c r="C53" s="3" t="s">
        <v>198</v>
      </c>
      <c r="D53" s="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2" t="s">
        <v>196</v>
      </c>
      <c r="B54" s="12" t="s">
        <v>204</v>
      </c>
      <c r="C54" s="14" t="s">
        <v>207</v>
      </c>
      <c r="D54" s="12" t="s">
        <v>30</v>
      </c>
    </row>
    <row r="55">
      <c r="A55" s="12" t="s">
        <v>196</v>
      </c>
      <c r="B55" s="12" t="s">
        <v>209</v>
      </c>
      <c r="C55" s="14" t="s">
        <v>211</v>
      </c>
      <c r="D55" s="12" t="s">
        <v>55</v>
      </c>
    </row>
    <row r="56">
      <c r="A56" s="2" t="s">
        <v>212</v>
      </c>
      <c r="B56" s="2" t="s">
        <v>5</v>
      </c>
      <c r="C56" s="3" t="s">
        <v>214</v>
      </c>
      <c r="D56" s="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2" t="s">
        <v>212</v>
      </c>
      <c r="B57" s="12" t="s">
        <v>14</v>
      </c>
      <c r="C57" s="14" t="s">
        <v>223</v>
      </c>
      <c r="D57" s="12" t="s">
        <v>30</v>
      </c>
    </row>
    <row r="58">
      <c r="A58" s="12" t="s">
        <v>212</v>
      </c>
      <c r="B58" s="12" t="s">
        <v>226</v>
      </c>
      <c r="C58" s="14" t="s">
        <v>229</v>
      </c>
      <c r="D58" s="12" t="s">
        <v>30</v>
      </c>
    </row>
    <row r="59">
      <c r="A59" s="12" t="s">
        <v>212</v>
      </c>
      <c r="B59" s="12" t="s">
        <v>27</v>
      </c>
      <c r="C59" s="14" t="s">
        <v>234</v>
      </c>
      <c r="D59" s="12" t="s">
        <v>55</v>
      </c>
    </row>
    <row r="60">
      <c r="A60" s="12" t="s">
        <v>212</v>
      </c>
      <c r="B60" s="12" t="s">
        <v>29</v>
      </c>
      <c r="C60" s="14" t="s">
        <v>236</v>
      </c>
      <c r="D60" s="12" t="s">
        <v>55</v>
      </c>
    </row>
    <row r="61">
      <c r="A61" s="12" t="s">
        <v>212</v>
      </c>
      <c r="B61" s="12" t="s">
        <v>237</v>
      </c>
      <c r="C61" s="14" t="s">
        <v>238</v>
      </c>
      <c r="D61" s="12" t="s">
        <v>55</v>
      </c>
    </row>
    <row r="62">
      <c r="A62" s="12" t="s">
        <v>212</v>
      </c>
      <c r="B62" s="12" t="s">
        <v>241</v>
      </c>
      <c r="C62" s="14" t="s">
        <v>243</v>
      </c>
      <c r="D62" s="12" t="s">
        <v>30</v>
      </c>
    </row>
    <row r="63">
      <c r="A63" s="12" t="s">
        <v>212</v>
      </c>
      <c r="B63" s="12" t="s">
        <v>244</v>
      </c>
      <c r="C63" s="14" t="s">
        <v>245</v>
      </c>
      <c r="D63" s="12" t="s">
        <v>30</v>
      </c>
    </row>
    <row r="64">
      <c r="A64" s="2" t="s">
        <v>246</v>
      </c>
      <c r="B64" s="2" t="s">
        <v>5</v>
      </c>
      <c r="C64" s="3" t="s">
        <v>248</v>
      </c>
      <c r="D64" s="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2" t="s">
        <v>246</v>
      </c>
      <c r="B65" s="12" t="s">
        <v>253</v>
      </c>
      <c r="C65" s="14" t="s">
        <v>255</v>
      </c>
      <c r="D65" s="12" t="s">
        <v>30</v>
      </c>
    </row>
    <row r="66">
      <c r="A66" s="12" t="s">
        <v>246</v>
      </c>
      <c r="B66" s="12" t="s">
        <v>258</v>
      </c>
      <c r="C66" s="14" t="s">
        <v>259</v>
      </c>
      <c r="D66" s="12" t="s">
        <v>55</v>
      </c>
    </row>
    <row r="67">
      <c r="A67" s="12" t="s">
        <v>246</v>
      </c>
      <c r="B67" s="12" t="s">
        <v>261</v>
      </c>
      <c r="C67" s="14" t="s">
        <v>263</v>
      </c>
      <c r="D67" s="12" t="s">
        <v>23</v>
      </c>
    </row>
    <row r="68">
      <c r="A68" s="12" t="s">
        <v>246</v>
      </c>
      <c r="B68" s="12" t="s">
        <v>264</v>
      </c>
      <c r="C68" s="14" t="s">
        <v>266</v>
      </c>
      <c r="D68" s="12" t="s">
        <v>55</v>
      </c>
    </row>
    <row r="69">
      <c r="A69" s="12" t="s">
        <v>246</v>
      </c>
      <c r="B69" s="12" t="s">
        <v>269</v>
      </c>
      <c r="C69" s="14" t="s">
        <v>270</v>
      </c>
      <c r="D69" s="12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2" max="2" width="46.38"/>
    <col customWidth="1" min="3" max="3" width="20.5"/>
    <col customWidth="1" min="5" max="5" width="27.75"/>
    <col customWidth="1" min="6" max="6" width="55.75"/>
    <col customWidth="1" min="9" max="15" width="4.25"/>
    <col customWidth="1" min="16" max="16" width="13.25"/>
    <col customWidth="1" min="17" max="17" width="35.25"/>
    <col customWidth="1" min="18" max="18" width="12.0"/>
    <col customWidth="1" min="19" max="19" width="16.63"/>
    <col customWidth="1" min="20" max="20" width="60.13"/>
  </cols>
  <sheetData>
    <row r="1">
      <c r="A1" s="7" t="s">
        <v>7</v>
      </c>
      <c r="B1" s="7" t="s">
        <v>14</v>
      </c>
      <c r="C1" s="11" t="s">
        <v>15</v>
      </c>
      <c r="D1" s="11" t="s">
        <v>8</v>
      </c>
      <c r="E1" s="7" t="s">
        <v>19</v>
      </c>
      <c r="F1" s="7" t="s">
        <v>25</v>
      </c>
      <c r="G1" s="7" t="s">
        <v>27</v>
      </c>
      <c r="H1" s="7" t="s">
        <v>29</v>
      </c>
      <c r="I1" s="16" t="s">
        <v>33</v>
      </c>
      <c r="J1" s="16" t="s">
        <v>35</v>
      </c>
      <c r="K1" s="16" t="s">
        <v>37</v>
      </c>
      <c r="L1" s="16" t="s">
        <v>38</v>
      </c>
      <c r="M1" s="16" t="s">
        <v>41</v>
      </c>
      <c r="N1" s="16" t="s">
        <v>42</v>
      </c>
      <c r="O1" s="16" t="s">
        <v>43</v>
      </c>
      <c r="P1" s="19" t="s">
        <v>46</v>
      </c>
      <c r="Q1" s="20" t="s">
        <v>9</v>
      </c>
      <c r="R1" s="21" t="s">
        <v>50</v>
      </c>
      <c r="S1" s="21" t="s">
        <v>51</v>
      </c>
      <c r="T1" s="21" t="s">
        <v>53</v>
      </c>
    </row>
    <row r="2">
      <c r="A2" s="22">
        <v>111.0</v>
      </c>
      <c r="B2" s="22" t="s">
        <v>59</v>
      </c>
      <c r="C2" s="22" t="s">
        <v>60</v>
      </c>
      <c r="D2" s="22" t="s">
        <v>32</v>
      </c>
      <c r="E2" s="22" t="s">
        <v>63</v>
      </c>
      <c r="F2" s="22" t="s">
        <v>64</v>
      </c>
      <c r="G2" s="22">
        <v>-33.893246</v>
      </c>
      <c r="H2" s="22">
        <v>151.202189</v>
      </c>
      <c r="I2" s="26">
        <v>0.0</v>
      </c>
      <c r="J2" s="26">
        <v>1.0</v>
      </c>
      <c r="K2" s="26">
        <v>0.0</v>
      </c>
      <c r="L2" s="26">
        <v>1.0</v>
      </c>
      <c r="M2" s="26">
        <v>0.0</v>
      </c>
      <c r="N2" s="26">
        <v>0.0</v>
      </c>
      <c r="O2" s="26">
        <v>1.0</v>
      </c>
      <c r="P2" s="22" t="s">
        <v>69</v>
      </c>
      <c r="Q2" s="22" t="s">
        <v>72</v>
      </c>
      <c r="R2" s="22" t="s">
        <v>73</v>
      </c>
      <c r="S2" s="28">
        <v>9.0</v>
      </c>
      <c r="T2" s="22" t="s">
        <v>76</v>
      </c>
    </row>
    <row r="3">
      <c r="A3" s="22">
        <v>113.0</v>
      </c>
      <c r="B3" s="22" t="s">
        <v>77</v>
      </c>
      <c r="C3" s="22" t="s">
        <v>60</v>
      </c>
      <c r="D3" s="22" t="s">
        <v>32</v>
      </c>
      <c r="E3" s="22" t="s">
        <v>81</v>
      </c>
      <c r="F3" s="22" t="s">
        <v>82</v>
      </c>
      <c r="G3" s="22">
        <v>-32.934076</v>
      </c>
      <c r="H3" s="22">
        <v>151.724726</v>
      </c>
      <c r="I3" s="26">
        <v>0.0</v>
      </c>
      <c r="J3" s="26">
        <v>0.0</v>
      </c>
      <c r="K3" s="26">
        <v>0.0</v>
      </c>
      <c r="L3" s="26">
        <v>1.0</v>
      </c>
      <c r="M3" s="26">
        <v>0.0</v>
      </c>
      <c r="N3" s="26">
        <v>0.0</v>
      </c>
      <c r="O3" s="26">
        <v>1.0</v>
      </c>
      <c r="P3" s="22" t="s">
        <v>86</v>
      </c>
      <c r="Q3" s="22" t="s">
        <v>87</v>
      </c>
      <c r="R3" s="22" t="s">
        <v>73</v>
      </c>
      <c r="S3" s="28">
        <v>9.0</v>
      </c>
      <c r="T3" s="22" t="s">
        <v>76</v>
      </c>
    </row>
    <row r="4">
      <c r="A4" s="22">
        <v>115.0</v>
      </c>
      <c r="B4" s="22" t="s">
        <v>90</v>
      </c>
      <c r="C4" s="22" t="s">
        <v>60</v>
      </c>
      <c r="D4" s="22" t="s">
        <v>32</v>
      </c>
      <c r="E4" s="22" t="s">
        <v>93</v>
      </c>
      <c r="F4" s="22" t="s">
        <v>94</v>
      </c>
      <c r="G4" s="22">
        <v>-36.043175</v>
      </c>
      <c r="H4" s="22">
        <v>146.944512</v>
      </c>
      <c r="I4" s="26">
        <v>0.0</v>
      </c>
      <c r="J4" s="26">
        <v>0.0</v>
      </c>
      <c r="K4" s="26">
        <v>1.0</v>
      </c>
      <c r="L4" s="26">
        <v>1.0</v>
      </c>
      <c r="M4" s="26">
        <v>0.0</v>
      </c>
      <c r="N4" s="26">
        <v>0.0</v>
      </c>
      <c r="O4" s="26">
        <v>1.0</v>
      </c>
      <c r="P4" s="22" t="s">
        <v>98</v>
      </c>
      <c r="Q4" s="22" t="s">
        <v>47</v>
      </c>
      <c r="R4" s="22" t="s">
        <v>100</v>
      </c>
      <c r="S4" s="28">
        <v>7.0</v>
      </c>
      <c r="T4" s="22" t="s">
        <v>101</v>
      </c>
    </row>
    <row r="5">
      <c r="A5" s="22">
        <v>116.0</v>
      </c>
      <c r="B5" s="22" t="s">
        <v>104</v>
      </c>
      <c r="C5" s="22" t="s">
        <v>60</v>
      </c>
      <c r="D5" s="22" t="s">
        <v>32</v>
      </c>
      <c r="E5" s="22" t="s">
        <v>105</v>
      </c>
      <c r="F5" s="22" t="s">
        <v>106</v>
      </c>
      <c r="G5" s="22">
        <v>-32.933812</v>
      </c>
      <c r="H5" s="22">
        <v>151.713179</v>
      </c>
      <c r="I5" s="26">
        <v>0.0</v>
      </c>
      <c r="J5" s="26">
        <v>1.0</v>
      </c>
      <c r="K5" s="26">
        <v>0.0</v>
      </c>
      <c r="L5" s="26">
        <v>1.0</v>
      </c>
      <c r="M5" s="26">
        <v>0.0</v>
      </c>
      <c r="N5" s="26">
        <v>0.0</v>
      </c>
      <c r="O5" s="26">
        <v>1.0</v>
      </c>
      <c r="P5" s="22" t="s">
        <v>86</v>
      </c>
      <c r="Q5" s="22" t="s">
        <v>87</v>
      </c>
      <c r="R5" s="22" t="s">
        <v>73</v>
      </c>
      <c r="S5" s="28">
        <v>9.0</v>
      </c>
      <c r="T5" s="22" t="s">
        <v>76</v>
      </c>
    </row>
    <row r="6">
      <c r="A6" s="22">
        <v>18.0</v>
      </c>
      <c r="B6" s="22" t="s">
        <v>110</v>
      </c>
      <c r="C6" s="22" t="s">
        <v>60</v>
      </c>
      <c r="D6" s="22" t="s">
        <v>32</v>
      </c>
      <c r="E6" s="22" t="s">
        <v>112</v>
      </c>
      <c r="F6" s="22" t="s">
        <v>113</v>
      </c>
      <c r="G6" s="30">
        <v>-33.898612</v>
      </c>
      <c r="H6" s="31">
        <v>151.174034</v>
      </c>
      <c r="I6" s="26">
        <v>1.0</v>
      </c>
      <c r="J6" s="26">
        <v>0.0</v>
      </c>
      <c r="K6" s="26">
        <v>1.0</v>
      </c>
      <c r="L6" s="26">
        <v>1.0</v>
      </c>
      <c r="M6" s="26">
        <v>1.0</v>
      </c>
      <c r="N6" s="26">
        <v>0.0</v>
      </c>
      <c r="O6" s="26">
        <v>1.0</v>
      </c>
      <c r="P6" s="22" t="s">
        <v>118</v>
      </c>
      <c r="Q6" s="22" t="s">
        <v>40</v>
      </c>
      <c r="R6" s="22" t="s">
        <v>73</v>
      </c>
      <c r="S6" s="28">
        <v>2.0</v>
      </c>
      <c r="T6" s="22" t="s">
        <v>119</v>
      </c>
    </row>
    <row r="7">
      <c r="A7" s="22">
        <v>126.0</v>
      </c>
      <c r="B7" s="22" t="s">
        <v>120</v>
      </c>
      <c r="C7" s="22" t="s">
        <v>60</v>
      </c>
      <c r="D7" s="22" t="s">
        <v>32</v>
      </c>
      <c r="E7" s="22" t="s">
        <v>121</v>
      </c>
      <c r="F7" s="22" t="s">
        <v>122</v>
      </c>
      <c r="G7" s="22">
        <v>-33.8160834</v>
      </c>
      <c r="H7" s="22">
        <v>151.1748297</v>
      </c>
      <c r="I7" s="26">
        <v>0.0</v>
      </c>
      <c r="J7" s="26">
        <v>0.0</v>
      </c>
      <c r="K7" s="26">
        <v>0.0</v>
      </c>
      <c r="L7" s="26">
        <v>1.0</v>
      </c>
      <c r="M7" s="26">
        <v>0.0</v>
      </c>
      <c r="N7" s="26">
        <v>0.0</v>
      </c>
      <c r="O7" s="26">
        <v>1.0</v>
      </c>
      <c r="P7" s="22" t="s">
        <v>125</v>
      </c>
      <c r="Q7" s="22" t="s">
        <v>58</v>
      </c>
      <c r="R7" s="22" t="s">
        <v>100</v>
      </c>
      <c r="S7" s="28">
        <v>8.0</v>
      </c>
      <c r="T7" s="22" t="s">
        <v>127</v>
      </c>
    </row>
    <row r="8">
      <c r="A8" s="22">
        <v>127.0</v>
      </c>
      <c r="B8" s="22" t="s">
        <v>128</v>
      </c>
      <c r="C8" s="22" t="s">
        <v>60</v>
      </c>
      <c r="D8" s="22" t="s">
        <v>32</v>
      </c>
      <c r="E8" s="22" t="s">
        <v>129</v>
      </c>
      <c r="F8" s="22" t="s">
        <v>131</v>
      </c>
      <c r="G8" s="22">
        <v>-33.304989</v>
      </c>
      <c r="H8" s="22">
        <v>149.099551</v>
      </c>
      <c r="I8" s="26">
        <v>0.0</v>
      </c>
      <c r="J8" s="26">
        <v>0.0</v>
      </c>
      <c r="K8" s="26">
        <v>0.0</v>
      </c>
      <c r="L8" s="26">
        <v>1.0</v>
      </c>
      <c r="M8" s="26">
        <v>0.0</v>
      </c>
      <c r="N8" s="26">
        <v>0.0</v>
      </c>
      <c r="O8" s="26">
        <v>1.0</v>
      </c>
      <c r="P8" s="22" t="s">
        <v>133</v>
      </c>
      <c r="Q8" s="22" t="s">
        <v>17</v>
      </c>
      <c r="R8" s="22" t="s">
        <v>100</v>
      </c>
      <c r="S8" s="28">
        <v>2.0</v>
      </c>
      <c r="T8" s="22" t="s">
        <v>119</v>
      </c>
    </row>
    <row r="9">
      <c r="A9" s="22">
        <v>128.0</v>
      </c>
      <c r="B9" s="22" t="s">
        <v>136</v>
      </c>
      <c r="C9" s="22" t="s">
        <v>60</v>
      </c>
      <c r="D9" s="22" t="s">
        <v>32</v>
      </c>
      <c r="E9" s="22" t="s">
        <v>137</v>
      </c>
      <c r="F9" s="30" t="s">
        <v>138</v>
      </c>
      <c r="G9" s="22">
        <v>-30.519418</v>
      </c>
      <c r="H9" s="22">
        <v>151.646604</v>
      </c>
      <c r="I9" s="26">
        <v>0.0</v>
      </c>
      <c r="J9" s="26">
        <v>0.0</v>
      </c>
      <c r="K9" s="26">
        <v>0.0</v>
      </c>
      <c r="L9" s="26">
        <v>1.0</v>
      </c>
      <c r="M9" s="26">
        <v>1.0</v>
      </c>
      <c r="N9" s="26">
        <v>0.0</v>
      </c>
      <c r="O9" s="26">
        <v>1.0</v>
      </c>
      <c r="P9" s="22" t="s">
        <v>98</v>
      </c>
      <c r="Q9" s="22" t="s">
        <v>47</v>
      </c>
      <c r="R9" s="22" t="s">
        <v>100</v>
      </c>
      <c r="S9" s="28">
        <v>7.0</v>
      </c>
      <c r="T9" s="22" t="s">
        <v>101</v>
      </c>
    </row>
    <row r="10">
      <c r="A10" s="22">
        <v>129.0</v>
      </c>
      <c r="B10" s="22" t="s">
        <v>141</v>
      </c>
      <c r="C10" s="22" t="s">
        <v>60</v>
      </c>
      <c r="D10" s="22" t="s">
        <v>32</v>
      </c>
      <c r="E10" s="22" t="s">
        <v>143</v>
      </c>
      <c r="F10" s="30" t="s">
        <v>145</v>
      </c>
      <c r="G10" s="22">
        <v>-33.516969</v>
      </c>
      <c r="H10" s="22">
        <v>151.331772</v>
      </c>
      <c r="I10" s="26">
        <v>1.0</v>
      </c>
      <c r="J10" s="26">
        <v>1.0</v>
      </c>
      <c r="K10" s="26">
        <v>0.0</v>
      </c>
      <c r="L10" s="26">
        <v>1.0</v>
      </c>
      <c r="M10" s="26">
        <v>1.0</v>
      </c>
      <c r="N10" s="26">
        <v>0.0</v>
      </c>
      <c r="O10" s="26">
        <v>0.0</v>
      </c>
      <c r="P10" s="22" t="s">
        <v>86</v>
      </c>
      <c r="Q10" s="22" t="s">
        <v>87</v>
      </c>
      <c r="R10" s="22" t="s">
        <v>73</v>
      </c>
      <c r="S10" s="28">
        <v>9.0</v>
      </c>
      <c r="T10" s="22" t="s">
        <v>76</v>
      </c>
    </row>
    <row r="11">
      <c r="A11" s="22">
        <v>131.0</v>
      </c>
      <c r="B11" s="22" t="s">
        <v>149</v>
      </c>
      <c r="C11" s="22" t="s">
        <v>60</v>
      </c>
      <c r="D11" s="22" t="s">
        <v>32</v>
      </c>
      <c r="E11" s="22" t="s">
        <v>150</v>
      </c>
      <c r="F11" s="22" t="s">
        <v>151</v>
      </c>
      <c r="G11" s="22">
        <v>-33.885229</v>
      </c>
      <c r="H11" s="22">
        <v>151.156383</v>
      </c>
      <c r="I11" s="26">
        <v>0.0</v>
      </c>
      <c r="J11" s="26">
        <v>1.0</v>
      </c>
      <c r="K11" s="26">
        <v>0.0</v>
      </c>
      <c r="L11" s="26">
        <v>1.0</v>
      </c>
      <c r="M11" s="26">
        <v>0.0</v>
      </c>
      <c r="N11" s="26">
        <v>0.0</v>
      </c>
      <c r="O11" s="26">
        <v>1.0</v>
      </c>
      <c r="P11" s="22" t="s">
        <v>86</v>
      </c>
      <c r="Q11" s="22" t="s">
        <v>87</v>
      </c>
      <c r="R11" s="22" t="s">
        <v>73</v>
      </c>
      <c r="S11" s="28">
        <v>9.0</v>
      </c>
      <c r="T11" s="22" t="s">
        <v>76</v>
      </c>
    </row>
    <row r="12">
      <c r="A12" s="22">
        <v>133.0</v>
      </c>
      <c r="B12" s="22" t="s">
        <v>155</v>
      </c>
      <c r="C12" s="22" t="s">
        <v>60</v>
      </c>
      <c r="D12" s="22" t="s">
        <v>32</v>
      </c>
      <c r="E12" s="22" t="s">
        <v>157</v>
      </c>
      <c r="F12" s="22" t="s">
        <v>159</v>
      </c>
      <c r="G12" s="22">
        <v>-36.4085597</v>
      </c>
      <c r="H12" s="22">
        <v>148.4061193</v>
      </c>
      <c r="I12" s="26">
        <v>1.0</v>
      </c>
      <c r="J12" s="26">
        <v>0.0</v>
      </c>
      <c r="K12" s="26">
        <v>0.0</v>
      </c>
      <c r="L12" s="26">
        <v>1.0</v>
      </c>
      <c r="M12" s="26">
        <v>0.0</v>
      </c>
      <c r="N12" s="26">
        <v>0.0</v>
      </c>
      <c r="O12" s="26">
        <v>1.0</v>
      </c>
      <c r="P12" s="22" t="s">
        <v>86</v>
      </c>
      <c r="Q12" s="22" t="s">
        <v>87</v>
      </c>
      <c r="R12" s="22" t="s">
        <v>73</v>
      </c>
      <c r="S12" s="28">
        <v>9.0</v>
      </c>
      <c r="T12" s="22" t="s">
        <v>76</v>
      </c>
    </row>
    <row r="13">
      <c r="A13" s="22">
        <v>146.0</v>
      </c>
      <c r="B13" s="22" t="s">
        <v>164</v>
      </c>
      <c r="C13" s="22" t="s">
        <v>60</v>
      </c>
      <c r="D13" s="22" t="s">
        <v>32</v>
      </c>
      <c r="E13" s="22" t="s">
        <v>166</v>
      </c>
      <c r="F13" s="22" t="s">
        <v>167</v>
      </c>
      <c r="G13" s="22">
        <v>-32.51193</v>
      </c>
      <c r="H13" s="22">
        <v>149.66748</v>
      </c>
      <c r="I13" s="26">
        <v>0.0</v>
      </c>
      <c r="J13" s="26">
        <v>0.0</v>
      </c>
      <c r="K13" s="26">
        <v>0.0</v>
      </c>
      <c r="L13" s="26">
        <v>1.0</v>
      </c>
      <c r="M13" s="26">
        <v>1.0</v>
      </c>
      <c r="N13" s="26">
        <v>1.0</v>
      </c>
      <c r="O13" s="26">
        <v>0.0</v>
      </c>
      <c r="P13" s="22" t="s">
        <v>169</v>
      </c>
      <c r="Q13" s="22" t="s">
        <v>79</v>
      </c>
      <c r="R13" s="22" t="s">
        <v>73</v>
      </c>
      <c r="S13" s="28">
        <v>9.0</v>
      </c>
      <c r="T13" s="22" t="s">
        <v>76</v>
      </c>
    </row>
    <row r="14">
      <c r="A14" s="22">
        <v>148.0</v>
      </c>
      <c r="B14" s="22" t="s">
        <v>172</v>
      </c>
      <c r="C14" s="22" t="s">
        <v>60</v>
      </c>
      <c r="D14" s="22" t="s">
        <v>32</v>
      </c>
      <c r="E14" s="22" t="s">
        <v>173</v>
      </c>
      <c r="F14" s="30" t="s">
        <v>174</v>
      </c>
      <c r="G14" s="22">
        <v>-33.744884</v>
      </c>
      <c r="H14" s="22">
        <v>151.232731</v>
      </c>
      <c r="I14" s="26">
        <v>0.0</v>
      </c>
      <c r="J14" s="26">
        <v>0.0</v>
      </c>
      <c r="K14" s="26">
        <v>1.0</v>
      </c>
      <c r="L14" s="26">
        <v>1.0</v>
      </c>
      <c r="M14" s="26">
        <v>1.0</v>
      </c>
      <c r="N14" s="26">
        <v>0.0</v>
      </c>
      <c r="O14" s="26">
        <v>0.0</v>
      </c>
      <c r="P14" s="22" t="s">
        <v>125</v>
      </c>
      <c r="Q14" s="22" t="s">
        <v>58</v>
      </c>
      <c r="R14" s="22" t="s">
        <v>100</v>
      </c>
      <c r="S14" s="28">
        <v>8.0</v>
      </c>
      <c r="T14" s="22" t="s">
        <v>127</v>
      </c>
    </row>
    <row r="15">
      <c r="A15" s="22">
        <v>60.0</v>
      </c>
      <c r="B15" s="22" t="s">
        <v>181</v>
      </c>
      <c r="C15" s="22" t="s">
        <v>60</v>
      </c>
      <c r="D15" s="22" t="s">
        <v>32</v>
      </c>
      <c r="E15" s="22" t="s">
        <v>182</v>
      </c>
      <c r="F15" s="22" t="s">
        <v>184</v>
      </c>
      <c r="G15" s="22">
        <v>-28.834761</v>
      </c>
      <c r="H15" s="22">
        <v>153.563793</v>
      </c>
      <c r="I15" s="26">
        <v>0.0</v>
      </c>
      <c r="J15" s="26">
        <v>0.0</v>
      </c>
      <c r="K15" s="26">
        <v>1.0</v>
      </c>
      <c r="L15" s="26">
        <v>1.0</v>
      </c>
      <c r="M15" s="26">
        <v>0.0</v>
      </c>
      <c r="N15" s="26">
        <v>0.0</v>
      </c>
      <c r="O15" s="26">
        <v>1.0</v>
      </c>
      <c r="P15" s="22" t="s">
        <v>118</v>
      </c>
      <c r="Q15" s="22" t="s">
        <v>40</v>
      </c>
      <c r="R15" s="22" t="s">
        <v>100</v>
      </c>
      <c r="S15" s="28">
        <v>2.0</v>
      </c>
      <c r="T15" s="22" t="s">
        <v>119</v>
      </c>
    </row>
    <row r="16">
      <c r="A16" s="22">
        <v>65.0</v>
      </c>
      <c r="B16" s="22" t="s">
        <v>188</v>
      </c>
      <c r="C16" s="22" t="s">
        <v>60</v>
      </c>
      <c r="D16" s="22" t="s">
        <v>32</v>
      </c>
      <c r="E16" s="22" t="s">
        <v>189</v>
      </c>
      <c r="F16" s="22" t="s">
        <v>190</v>
      </c>
      <c r="G16" s="22">
        <v>-33.985396</v>
      </c>
      <c r="H16" s="22">
        <v>151.048461</v>
      </c>
      <c r="I16" s="26">
        <v>0.0</v>
      </c>
      <c r="J16" s="26">
        <v>0.0</v>
      </c>
      <c r="K16" s="26">
        <v>0.0</v>
      </c>
      <c r="L16" s="26">
        <v>1.0</v>
      </c>
      <c r="M16" s="26">
        <v>1.0</v>
      </c>
      <c r="N16" s="26">
        <v>0.0</v>
      </c>
      <c r="O16" s="26">
        <v>1.0</v>
      </c>
      <c r="P16" s="22" t="s">
        <v>86</v>
      </c>
      <c r="Q16" s="22" t="s">
        <v>87</v>
      </c>
      <c r="R16" s="22" t="s">
        <v>73</v>
      </c>
      <c r="S16" s="28">
        <v>9.0</v>
      </c>
      <c r="T16" s="22" t="s">
        <v>76</v>
      </c>
    </row>
    <row r="17">
      <c r="A17" s="22">
        <v>66.0</v>
      </c>
      <c r="B17" s="22" t="s">
        <v>195</v>
      </c>
      <c r="C17" s="22" t="s">
        <v>60</v>
      </c>
      <c r="D17" s="22" t="s">
        <v>32</v>
      </c>
      <c r="E17" s="22" t="s">
        <v>197</v>
      </c>
      <c r="F17" s="22" t="s">
        <v>199</v>
      </c>
      <c r="G17" s="22">
        <v>-33.867988</v>
      </c>
      <c r="H17" s="22">
        <v>151.211087</v>
      </c>
      <c r="I17" s="26">
        <v>0.0</v>
      </c>
      <c r="J17" s="26">
        <v>0.0</v>
      </c>
      <c r="K17" s="26">
        <v>0.0</v>
      </c>
      <c r="L17" s="26">
        <v>1.0</v>
      </c>
      <c r="M17" s="26">
        <v>1.0</v>
      </c>
      <c r="N17" s="26">
        <v>1.0</v>
      </c>
      <c r="O17" s="26">
        <v>0.0</v>
      </c>
      <c r="P17" s="22" t="s">
        <v>125</v>
      </c>
      <c r="Q17" s="22" t="s">
        <v>58</v>
      </c>
      <c r="R17" s="22" t="s">
        <v>100</v>
      </c>
      <c r="S17" s="28">
        <v>8.0</v>
      </c>
      <c r="T17" s="22" t="s">
        <v>127</v>
      </c>
    </row>
    <row r="18">
      <c r="A18" s="22">
        <v>68.0</v>
      </c>
      <c r="B18" s="32" t="s">
        <v>205</v>
      </c>
      <c r="C18" s="22" t="s">
        <v>60</v>
      </c>
      <c r="D18" s="22" t="s">
        <v>32</v>
      </c>
      <c r="E18" s="22" t="s">
        <v>208</v>
      </c>
      <c r="F18" s="30" t="s">
        <v>210</v>
      </c>
      <c r="G18" s="22">
        <v>-35.713823</v>
      </c>
      <c r="H18" s="22">
        <v>150.187672</v>
      </c>
      <c r="I18" s="26">
        <v>0.0</v>
      </c>
      <c r="J18" s="26">
        <v>0.0</v>
      </c>
      <c r="K18" s="26">
        <v>1.0</v>
      </c>
      <c r="L18" s="26">
        <v>1.0</v>
      </c>
      <c r="M18" s="26">
        <v>0.0</v>
      </c>
      <c r="N18" s="26">
        <v>0.0</v>
      </c>
      <c r="O18" s="26">
        <v>1.0</v>
      </c>
      <c r="P18" s="22" t="s">
        <v>98</v>
      </c>
      <c r="Q18" s="22" t="s">
        <v>47</v>
      </c>
      <c r="R18" s="22" t="s">
        <v>100</v>
      </c>
      <c r="S18" s="28">
        <v>7.0</v>
      </c>
      <c r="T18" s="22" t="s">
        <v>101</v>
      </c>
    </row>
    <row r="19">
      <c r="A19" s="22">
        <v>69.0</v>
      </c>
      <c r="B19" s="22" t="s">
        <v>217</v>
      </c>
      <c r="C19" s="22" t="s">
        <v>60</v>
      </c>
      <c r="D19" s="22" t="s">
        <v>32</v>
      </c>
      <c r="E19" s="22" t="s">
        <v>219</v>
      </c>
      <c r="F19" s="22" t="s">
        <v>220</v>
      </c>
      <c r="G19" s="22">
        <v>-33.41643</v>
      </c>
      <c r="H19" s="22">
        <v>149.58224</v>
      </c>
      <c r="I19" s="26">
        <v>0.0</v>
      </c>
      <c r="J19" s="26">
        <v>0.0</v>
      </c>
      <c r="K19" s="26">
        <v>0.0</v>
      </c>
      <c r="L19" s="26">
        <v>1.0</v>
      </c>
      <c r="M19" s="26">
        <v>1.0</v>
      </c>
      <c r="N19" s="26">
        <v>0.0</v>
      </c>
      <c r="O19" s="26">
        <v>1.0</v>
      </c>
      <c r="P19" s="22" t="s">
        <v>118</v>
      </c>
      <c r="Q19" s="22" t="s">
        <v>40</v>
      </c>
      <c r="R19" s="22" t="s">
        <v>73</v>
      </c>
      <c r="S19" s="28">
        <v>0.0</v>
      </c>
      <c r="T19" s="22" t="s">
        <v>228</v>
      </c>
    </row>
    <row r="20">
      <c r="A20" s="33">
        <v>72.0</v>
      </c>
      <c r="B20" s="33" t="s">
        <v>231</v>
      </c>
      <c r="C20" s="33" t="s">
        <v>60</v>
      </c>
      <c r="D20" s="22" t="s">
        <v>32</v>
      </c>
      <c r="E20" s="33" t="s">
        <v>233</v>
      </c>
      <c r="F20" s="33" t="s">
        <v>235</v>
      </c>
      <c r="G20" s="33">
        <v>-33.874832</v>
      </c>
      <c r="H20" s="33">
        <v>151.217106</v>
      </c>
      <c r="I20" s="26">
        <v>0.0</v>
      </c>
      <c r="J20" s="26">
        <v>0.0</v>
      </c>
      <c r="K20" s="26">
        <v>0.0</v>
      </c>
      <c r="L20" s="26">
        <v>1.0</v>
      </c>
      <c r="M20" s="26">
        <v>1.0</v>
      </c>
      <c r="N20" s="26">
        <v>0.0</v>
      </c>
      <c r="O20" s="26">
        <v>1.0</v>
      </c>
      <c r="P20" s="33" t="s">
        <v>69</v>
      </c>
      <c r="Q20" s="33" t="s">
        <v>72</v>
      </c>
      <c r="R20" s="22" t="s">
        <v>100</v>
      </c>
      <c r="S20" s="28">
        <v>9.0</v>
      </c>
      <c r="T20" s="22" t="s">
        <v>76</v>
      </c>
    </row>
    <row r="21">
      <c r="A21" s="22">
        <v>75.0</v>
      </c>
      <c r="B21" s="22" t="s">
        <v>239</v>
      </c>
      <c r="C21" s="22" t="s">
        <v>60</v>
      </c>
      <c r="D21" s="22" t="s">
        <v>32</v>
      </c>
      <c r="E21" s="22" t="s">
        <v>240</v>
      </c>
      <c r="F21" s="22" t="s">
        <v>242</v>
      </c>
      <c r="G21" s="22">
        <v>-36.671311</v>
      </c>
      <c r="H21" s="22">
        <v>149.836604</v>
      </c>
      <c r="I21" s="26">
        <v>0.0</v>
      </c>
      <c r="J21" s="26">
        <v>0.0</v>
      </c>
      <c r="K21" s="26">
        <v>1.0</v>
      </c>
      <c r="L21" s="26">
        <v>1.0</v>
      </c>
      <c r="M21" s="26">
        <v>0.0</v>
      </c>
      <c r="N21" s="26">
        <v>0.0</v>
      </c>
      <c r="O21" s="26">
        <v>1.0</v>
      </c>
      <c r="P21" s="22" t="s">
        <v>69</v>
      </c>
      <c r="Q21" s="22" t="s">
        <v>72</v>
      </c>
      <c r="R21" s="22" t="s">
        <v>73</v>
      </c>
      <c r="S21" s="28">
        <v>9.0</v>
      </c>
      <c r="T21" s="22" t="s">
        <v>76</v>
      </c>
    </row>
    <row r="22">
      <c r="A22" s="22">
        <v>77.0</v>
      </c>
      <c r="B22" s="22" t="s">
        <v>247</v>
      </c>
      <c r="C22" s="22" t="s">
        <v>60</v>
      </c>
      <c r="D22" s="22" t="s">
        <v>32</v>
      </c>
      <c r="E22" s="22" t="s">
        <v>249</v>
      </c>
      <c r="F22" s="22" t="s">
        <v>250</v>
      </c>
      <c r="G22" s="22">
        <v>-30.440836</v>
      </c>
      <c r="H22" s="22">
        <v>152.894853</v>
      </c>
      <c r="I22" s="26">
        <v>0.0</v>
      </c>
      <c r="J22" s="26">
        <v>0.0</v>
      </c>
      <c r="K22" s="26">
        <v>0.0</v>
      </c>
      <c r="L22" s="26">
        <v>1.0</v>
      </c>
      <c r="M22" s="26">
        <v>0.0</v>
      </c>
      <c r="N22" s="26">
        <v>0.0</v>
      </c>
      <c r="O22" s="26">
        <v>1.0</v>
      </c>
      <c r="P22" s="22" t="s">
        <v>251</v>
      </c>
      <c r="Q22" s="22" t="s">
        <v>56</v>
      </c>
      <c r="R22" s="22" t="s">
        <v>73</v>
      </c>
      <c r="S22" s="28">
        <v>5.0</v>
      </c>
      <c r="T22" s="22" t="s">
        <v>252</v>
      </c>
    </row>
    <row r="23">
      <c r="A23" s="22">
        <v>79.0</v>
      </c>
      <c r="B23" s="22" t="s">
        <v>254</v>
      </c>
      <c r="C23" s="22" t="s">
        <v>60</v>
      </c>
      <c r="D23" s="22" t="s">
        <v>32</v>
      </c>
      <c r="E23" s="22" t="s">
        <v>256</v>
      </c>
      <c r="F23" s="22" t="s">
        <v>257</v>
      </c>
      <c r="G23" s="22">
        <v>-31.136257</v>
      </c>
      <c r="H23" s="22">
        <v>152.761045</v>
      </c>
      <c r="I23" s="26">
        <v>0.0</v>
      </c>
      <c r="J23" s="26">
        <v>0.0</v>
      </c>
      <c r="K23" s="26">
        <v>0.0</v>
      </c>
      <c r="L23" s="26">
        <v>1.0</v>
      </c>
      <c r="M23" s="26">
        <v>0.0</v>
      </c>
      <c r="N23" s="26">
        <v>0.0</v>
      </c>
      <c r="O23" s="26">
        <v>1.0</v>
      </c>
      <c r="P23" s="22" t="s">
        <v>251</v>
      </c>
      <c r="Q23" s="22" t="s">
        <v>56</v>
      </c>
      <c r="R23" s="22" t="s">
        <v>100</v>
      </c>
      <c r="S23" s="28">
        <v>5.0</v>
      </c>
      <c r="T23" s="22" t="s">
        <v>252</v>
      </c>
    </row>
    <row r="24">
      <c r="A24" s="22">
        <v>81.0</v>
      </c>
      <c r="B24" s="22" t="s">
        <v>265</v>
      </c>
      <c r="C24" s="22" t="s">
        <v>60</v>
      </c>
      <c r="D24" s="22" t="s">
        <v>32</v>
      </c>
      <c r="E24" s="22" t="s">
        <v>267</v>
      </c>
      <c r="F24" s="22" t="s">
        <v>268</v>
      </c>
      <c r="G24" s="22">
        <v>-36.427829</v>
      </c>
      <c r="H24" s="22">
        <v>150.078126</v>
      </c>
      <c r="I24" s="26">
        <v>0.0</v>
      </c>
      <c r="J24" s="26">
        <v>0.0</v>
      </c>
      <c r="K24" s="26">
        <v>0.0</v>
      </c>
      <c r="L24" s="26">
        <v>1.0</v>
      </c>
      <c r="M24" s="26">
        <v>1.0</v>
      </c>
      <c r="N24" s="26">
        <v>0.0</v>
      </c>
      <c r="O24" s="26">
        <v>1.0</v>
      </c>
      <c r="P24" s="22" t="s">
        <v>169</v>
      </c>
      <c r="Q24" s="22" t="s">
        <v>79</v>
      </c>
      <c r="R24" s="22" t="s">
        <v>73</v>
      </c>
      <c r="S24" s="28">
        <v>9.0</v>
      </c>
      <c r="T24" s="22" t="s">
        <v>76</v>
      </c>
    </row>
    <row r="25">
      <c r="A25" s="22">
        <v>85.0</v>
      </c>
      <c r="B25" s="22" t="s">
        <v>272</v>
      </c>
      <c r="C25" s="22" t="s">
        <v>60</v>
      </c>
      <c r="D25" s="22" t="s">
        <v>32</v>
      </c>
      <c r="E25" s="22" t="s">
        <v>274</v>
      </c>
      <c r="F25" s="22" t="s">
        <v>275</v>
      </c>
      <c r="G25" s="22">
        <v>-33.740707</v>
      </c>
      <c r="H25" s="22">
        <v>151.0479</v>
      </c>
      <c r="I25" s="26">
        <v>0.0</v>
      </c>
      <c r="J25" s="26">
        <v>0.0</v>
      </c>
      <c r="K25" s="26">
        <v>0.0</v>
      </c>
      <c r="L25" s="26">
        <v>1.0</v>
      </c>
      <c r="M25" s="26">
        <v>1.0</v>
      </c>
      <c r="N25" s="26">
        <v>0.0</v>
      </c>
      <c r="O25" s="26">
        <v>1.0</v>
      </c>
      <c r="P25" s="22" t="s">
        <v>169</v>
      </c>
      <c r="Q25" s="22" t="s">
        <v>79</v>
      </c>
      <c r="R25" s="22" t="s">
        <v>73</v>
      </c>
      <c r="S25" s="28">
        <v>9.0</v>
      </c>
      <c r="T25" s="22" t="s">
        <v>76</v>
      </c>
    </row>
    <row r="26">
      <c r="A26" s="22">
        <v>87.0</v>
      </c>
      <c r="B26" s="22" t="s">
        <v>277</v>
      </c>
      <c r="C26" s="22" t="s">
        <v>60</v>
      </c>
      <c r="D26" s="22" t="s">
        <v>32</v>
      </c>
      <c r="E26" s="22" t="s">
        <v>278</v>
      </c>
      <c r="F26" s="22" t="s">
        <v>279</v>
      </c>
      <c r="G26" s="22">
        <v>-33.746075</v>
      </c>
      <c r="H26" s="22">
        <v>150.60927</v>
      </c>
      <c r="I26" s="26">
        <v>0.0</v>
      </c>
      <c r="J26" s="26">
        <v>0.0</v>
      </c>
      <c r="K26" s="26">
        <v>0.0</v>
      </c>
      <c r="L26" s="26">
        <v>1.0</v>
      </c>
      <c r="M26" s="26">
        <v>1.0</v>
      </c>
      <c r="N26" s="26">
        <v>0.0</v>
      </c>
      <c r="O26" s="26">
        <v>1.0</v>
      </c>
      <c r="P26" s="22" t="s">
        <v>86</v>
      </c>
      <c r="Q26" s="22" t="s">
        <v>87</v>
      </c>
      <c r="R26" s="22" t="s">
        <v>73</v>
      </c>
      <c r="S26" s="28">
        <v>9.0</v>
      </c>
      <c r="T26" s="22" t="s">
        <v>76</v>
      </c>
    </row>
    <row r="27">
      <c r="A27" s="22">
        <v>731.0</v>
      </c>
      <c r="B27" s="22" t="s">
        <v>281</v>
      </c>
      <c r="C27" s="22" t="s">
        <v>282</v>
      </c>
      <c r="D27" s="22" t="s">
        <v>66</v>
      </c>
      <c r="E27" s="22" t="s">
        <v>283</v>
      </c>
      <c r="F27" s="22" t="s">
        <v>284</v>
      </c>
      <c r="G27" s="22">
        <v>-37.802501</v>
      </c>
      <c r="H27" s="22">
        <v>144.943497</v>
      </c>
      <c r="I27" s="26">
        <v>0.0</v>
      </c>
      <c r="J27" s="26">
        <v>1.0</v>
      </c>
      <c r="K27" s="26">
        <v>0.0</v>
      </c>
      <c r="L27" s="26">
        <v>1.0</v>
      </c>
      <c r="M27" s="26">
        <v>1.0</v>
      </c>
      <c r="N27" s="26">
        <v>1.0</v>
      </c>
      <c r="O27" s="26">
        <v>0.0</v>
      </c>
      <c r="P27" s="22" t="s">
        <v>125</v>
      </c>
      <c r="Q27" s="22" t="s">
        <v>58</v>
      </c>
      <c r="R27" s="22" t="s">
        <v>100</v>
      </c>
      <c r="S27" s="28">
        <v>8.0</v>
      </c>
      <c r="T27" s="22" t="s">
        <v>285</v>
      </c>
    </row>
    <row r="28">
      <c r="A28" s="22">
        <v>732.0</v>
      </c>
      <c r="B28" s="22" t="s">
        <v>287</v>
      </c>
      <c r="C28" s="22" t="s">
        <v>282</v>
      </c>
      <c r="D28" s="22" t="s">
        <v>66</v>
      </c>
      <c r="E28" s="22" t="s">
        <v>288</v>
      </c>
      <c r="F28" s="22" t="s">
        <v>289</v>
      </c>
      <c r="G28" s="22">
        <v>-37.770087</v>
      </c>
      <c r="H28" s="22">
        <v>144.997399</v>
      </c>
      <c r="I28" s="26">
        <v>0.0</v>
      </c>
      <c r="J28" s="26">
        <v>0.0</v>
      </c>
      <c r="K28" s="26">
        <v>1.0</v>
      </c>
      <c r="L28" s="26">
        <v>1.0</v>
      </c>
      <c r="M28" s="26">
        <v>0.0</v>
      </c>
      <c r="N28" s="26">
        <v>0.0</v>
      </c>
      <c r="O28" s="26">
        <v>1.0</v>
      </c>
      <c r="P28" s="22" t="s">
        <v>86</v>
      </c>
      <c r="Q28" s="22" t="s">
        <v>87</v>
      </c>
      <c r="R28" s="22" t="s">
        <v>73</v>
      </c>
      <c r="S28" s="28">
        <v>9.0</v>
      </c>
      <c r="T28" s="22" t="s">
        <v>76</v>
      </c>
    </row>
    <row r="29">
      <c r="A29" s="22">
        <v>733.0</v>
      </c>
      <c r="B29" s="22" t="s">
        <v>290</v>
      </c>
      <c r="C29" s="22" t="s">
        <v>282</v>
      </c>
      <c r="D29" s="22" t="s">
        <v>66</v>
      </c>
      <c r="E29" s="22" t="s">
        <v>291</v>
      </c>
      <c r="F29" s="22"/>
      <c r="G29" s="22">
        <v>-37.559631</v>
      </c>
      <c r="H29" s="22">
        <v>143.856629</v>
      </c>
      <c r="I29" s="26">
        <v>0.0</v>
      </c>
      <c r="J29" s="26">
        <v>1.0</v>
      </c>
      <c r="K29" s="26">
        <v>0.0</v>
      </c>
      <c r="L29" s="26">
        <v>1.0</v>
      </c>
      <c r="M29" s="26">
        <v>1.0</v>
      </c>
      <c r="N29" s="26">
        <v>0.0</v>
      </c>
      <c r="O29" s="26">
        <v>1.0</v>
      </c>
      <c r="P29" s="22" t="s">
        <v>69</v>
      </c>
      <c r="Q29" s="22" t="s">
        <v>72</v>
      </c>
      <c r="R29" s="22" t="s">
        <v>73</v>
      </c>
      <c r="S29" s="28">
        <v>9.0</v>
      </c>
      <c r="T29" s="22" t="s">
        <v>76</v>
      </c>
    </row>
    <row r="30">
      <c r="A30" s="22">
        <v>745.0</v>
      </c>
      <c r="B30" s="22" t="s">
        <v>293</v>
      </c>
      <c r="C30" s="22" t="s">
        <v>282</v>
      </c>
      <c r="D30" s="22" t="s">
        <v>66</v>
      </c>
      <c r="E30" s="22" t="s">
        <v>294</v>
      </c>
      <c r="F30" s="22" t="s">
        <v>295</v>
      </c>
      <c r="G30" s="22">
        <v>-36.353776</v>
      </c>
      <c r="H30" s="22">
        <v>145.387979</v>
      </c>
      <c r="I30" s="26">
        <v>0.0</v>
      </c>
      <c r="J30" s="26">
        <v>0.0</v>
      </c>
      <c r="K30" s="26">
        <v>0.0</v>
      </c>
      <c r="L30" s="26">
        <v>1.0</v>
      </c>
      <c r="M30" s="26">
        <v>1.0</v>
      </c>
      <c r="N30" s="26">
        <v>0.0</v>
      </c>
      <c r="O30" s="26">
        <v>1.0</v>
      </c>
      <c r="P30" s="22" t="s">
        <v>86</v>
      </c>
      <c r="Q30" s="22" t="s">
        <v>87</v>
      </c>
      <c r="R30" s="22" t="s">
        <v>73</v>
      </c>
      <c r="S30" s="28">
        <v>9.0</v>
      </c>
      <c r="T30" s="22" t="s">
        <v>76</v>
      </c>
    </row>
    <row r="31">
      <c r="A31" s="22">
        <v>746.0</v>
      </c>
      <c r="B31" s="22" t="s">
        <v>297</v>
      </c>
      <c r="C31" s="22" t="s">
        <v>282</v>
      </c>
      <c r="D31" s="22" t="s">
        <v>66</v>
      </c>
      <c r="E31" s="22" t="s">
        <v>299</v>
      </c>
      <c r="F31" s="22" t="s">
        <v>300</v>
      </c>
      <c r="G31" s="22">
        <v>-36.733736</v>
      </c>
      <c r="H31" s="22">
        <v>144.27855</v>
      </c>
      <c r="I31" s="26">
        <v>0.0</v>
      </c>
      <c r="J31" s="26">
        <v>0.0</v>
      </c>
      <c r="K31" s="26">
        <v>0.0</v>
      </c>
      <c r="L31" s="26">
        <v>1.0</v>
      </c>
      <c r="M31" s="26">
        <v>1.0</v>
      </c>
      <c r="N31" s="26">
        <v>0.0</v>
      </c>
      <c r="O31" s="26">
        <v>1.0</v>
      </c>
      <c r="P31" s="22" t="s">
        <v>69</v>
      </c>
      <c r="Q31" s="22" t="s">
        <v>72</v>
      </c>
      <c r="R31" s="22" t="s">
        <v>73</v>
      </c>
      <c r="S31" s="28">
        <v>9.0</v>
      </c>
      <c r="T31" s="22" t="s">
        <v>76</v>
      </c>
    </row>
    <row r="32">
      <c r="A32" s="22">
        <v>747.0</v>
      </c>
      <c r="B32" s="22" t="s">
        <v>303</v>
      </c>
      <c r="C32" s="22" t="s">
        <v>282</v>
      </c>
      <c r="D32" s="22" t="s">
        <v>66</v>
      </c>
      <c r="E32" s="22" t="s">
        <v>304</v>
      </c>
      <c r="F32" s="22" t="s">
        <v>305</v>
      </c>
      <c r="G32" s="22">
        <v>-37.922596</v>
      </c>
      <c r="H32" s="22">
        <v>145.040971</v>
      </c>
      <c r="I32" s="26">
        <v>0.0</v>
      </c>
      <c r="J32" s="26">
        <v>1.0</v>
      </c>
      <c r="K32" s="26">
        <v>0.0</v>
      </c>
      <c r="L32" s="26">
        <v>1.0</v>
      </c>
      <c r="M32" s="26">
        <v>1.0</v>
      </c>
      <c r="N32" s="26">
        <v>0.0</v>
      </c>
      <c r="O32" s="26">
        <v>1.0</v>
      </c>
      <c r="P32" s="22" t="s">
        <v>169</v>
      </c>
      <c r="Q32" s="22" t="s">
        <v>79</v>
      </c>
      <c r="R32" s="22" t="s">
        <v>73</v>
      </c>
      <c r="S32" s="28">
        <v>9.0</v>
      </c>
      <c r="T32" s="22" t="s">
        <v>76</v>
      </c>
    </row>
    <row r="33">
      <c r="A33" s="22">
        <v>748.0</v>
      </c>
      <c r="B33" s="22" t="s">
        <v>309</v>
      </c>
      <c r="C33" s="22" t="s">
        <v>282</v>
      </c>
      <c r="D33" s="22" t="s">
        <v>66</v>
      </c>
      <c r="E33" s="22" t="s">
        <v>310</v>
      </c>
      <c r="F33" s="22" t="s">
        <v>311</v>
      </c>
      <c r="G33" s="22">
        <v>-37.75608</v>
      </c>
      <c r="H33" s="22">
        <v>144.965877</v>
      </c>
      <c r="I33" s="26">
        <v>0.0</v>
      </c>
      <c r="J33" s="26">
        <v>0.0</v>
      </c>
      <c r="K33" s="26">
        <v>0.0</v>
      </c>
      <c r="L33" s="26">
        <v>1.0</v>
      </c>
      <c r="M33" s="26">
        <v>1.0</v>
      </c>
      <c r="N33" s="26">
        <v>0.0</v>
      </c>
      <c r="O33" s="26">
        <v>1.0</v>
      </c>
      <c r="P33" s="22" t="s">
        <v>169</v>
      </c>
      <c r="Q33" s="22" t="s">
        <v>79</v>
      </c>
      <c r="R33" s="22" t="s">
        <v>73</v>
      </c>
      <c r="S33" s="28">
        <v>9.0</v>
      </c>
      <c r="T33" s="22" t="s">
        <v>76</v>
      </c>
    </row>
    <row r="34">
      <c r="A34" s="22">
        <v>715.0</v>
      </c>
      <c r="B34" s="22" t="s">
        <v>313</v>
      </c>
      <c r="C34" s="22" t="s">
        <v>282</v>
      </c>
      <c r="D34" s="22" t="s">
        <v>66</v>
      </c>
      <c r="E34" s="22" t="s">
        <v>314</v>
      </c>
      <c r="F34" s="22" t="s">
        <v>315</v>
      </c>
      <c r="G34" s="22">
        <v>-37.130077</v>
      </c>
      <c r="H34" s="22">
        <v>142.532255</v>
      </c>
      <c r="I34" s="26">
        <v>0.0</v>
      </c>
      <c r="J34" s="26">
        <v>0.0</v>
      </c>
      <c r="K34" s="26">
        <v>0.0</v>
      </c>
      <c r="L34" s="26">
        <v>1.0</v>
      </c>
      <c r="M34" s="26">
        <v>1.0</v>
      </c>
      <c r="N34" s="26">
        <v>0.0</v>
      </c>
      <c r="O34" s="26">
        <v>1.0</v>
      </c>
      <c r="P34" s="22" t="s">
        <v>69</v>
      </c>
      <c r="Q34" s="22" t="s">
        <v>72</v>
      </c>
      <c r="R34" s="22" t="s">
        <v>73</v>
      </c>
      <c r="S34" s="28">
        <v>9.0</v>
      </c>
      <c r="T34" s="22" t="s">
        <v>76</v>
      </c>
    </row>
    <row r="35">
      <c r="A35" s="22">
        <v>754.0</v>
      </c>
      <c r="B35" s="22" t="s">
        <v>317</v>
      </c>
      <c r="C35" s="22" t="s">
        <v>282</v>
      </c>
      <c r="D35" s="22" t="s">
        <v>66</v>
      </c>
      <c r="E35" s="22" t="s">
        <v>318</v>
      </c>
      <c r="F35" s="22" t="s">
        <v>319</v>
      </c>
      <c r="G35" s="22">
        <v>-36.771138</v>
      </c>
      <c r="H35" s="22">
        <v>144.276656</v>
      </c>
      <c r="I35" s="26">
        <v>0.0</v>
      </c>
      <c r="J35" s="26">
        <v>0.0</v>
      </c>
      <c r="K35" s="26">
        <v>1.0</v>
      </c>
      <c r="L35" s="26">
        <v>1.0</v>
      </c>
      <c r="M35" s="26">
        <v>0.0</v>
      </c>
      <c r="N35" s="26">
        <v>0.0</v>
      </c>
      <c r="O35" s="26">
        <v>0.0</v>
      </c>
      <c r="P35" s="22" t="s">
        <v>321</v>
      </c>
      <c r="Q35" s="22" t="s">
        <v>36</v>
      </c>
      <c r="R35" s="22" t="s">
        <v>100</v>
      </c>
      <c r="S35" s="28">
        <v>6.0</v>
      </c>
      <c r="T35" s="22" t="s">
        <v>322</v>
      </c>
    </row>
    <row r="36">
      <c r="A36" s="22">
        <v>753.0</v>
      </c>
      <c r="B36" s="22" t="s">
        <v>323</v>
      </c>
      <c r="C36" s="22" t="s">
        <v>282</v>
      </c>
      <c r="D36" s="22" t="s">
        <v>66</v>
      </c>
      <c r="E36" s="22" t="s">
        <v>324</v>
      </c>
      <c r="F36" s="22" t="s">
        <v>325</v>
      </c>
      <c r="G36" s="22">
        <v>-37.063394</v>
      </c>
      <c r="H36" s="22">
        <v>144.218255</v>
      </c>
      <c r="I36" s="26">
        <v>0.0</v>
      </c>
      <c r="J36" s="26">
        <v>1.0</v>
      </c>
      <c r="K36" s="26">
        <v>0.0</v>
      </c>
      <c r="L36" s="26">
        <v>1.0</v>
      </c>
      <c r="M36" s="26">
        <v>1.0</v>
      </c>
      <c r="N36" s="26">
        <v>0.0</v>
      </c>
      <c r="O36" s="26">
        <v>1.0</v>
      </c>
      <c r="P36" s="22" t="s">
        <v>169</v>
      </c>
      <c r="Q36" s="22" t="s">
        <v>79</v>
      </c>
      <c r="R36" s="22" t="s">
        <v>73</v>
      </c>
      <c r="S36" s="28">
        <v>9.0</v>
      </c>
      <c r="T36" s="22" t="s">
        <v>76</v>
      </c>
    </row>
    <row r="37">
      <c r="A37" s="22">
        <v>755.0</v>
      </c>
      <c r="B37" s="22" t="s">
        <v>327</v>
      </c>
      <c r="C37" s="22" t="s">
        <v>282</v>
      </c>
      <c r="D37" s="22" t="s">
        <v>66</v>
      </c>
      <c r="E37" s="22" t="s">
        <v>328</v>
      </c>
      <c r="F37" s="22" t="s">
        <v>329</v>
      </c>
      <c r="G37" s="22">
        <v>-37.784257</v>
      </c>
      <c r="H37" s="22">
        <v>144.991314</v>
      </c>
      <c r="I37" s="26">
        <v>0.0</v>
      </c>
      <c r="J37" s="26">
        <v>1.0</v>
      </c>
      <c r="K37" s="26">
        <v>0.0</v>
      </c>
      <c r="L37" s="26">
        <v>1.0</v>
      </c>
      <c r="M37" s="26">
        <v>1.0</v>
      </c>
      <c r="N37" s="26">
        <v>0.0</v>
      </c>
      <c r="O37" s="26">
        <v>1.0</v>
      </c>
      <c r="P37" s="22" t="s">
        <v>169</v>
      </c>
      <c r="Q37" s="22" t="s">
        <v>79</v>
      </c>
      <c r="R37" s="22" t="s">
        <v>73</v>
      </c>
      <c r="S37" s="28">
        <v>9.0</v>
      </c>
      <c r="T37" s="22" t="s">
        <v>76</v>
      </c>
    </row>
    <row r="38">
      <c r="A38" s="22">
        <v>760.0</v>
      </c>
      <c r="B38" s="22" t="s">
        <v>330</v>
      </c>
      <c r="C38" s="22" t="s">
        <v>282</v>
      </c>
      <c r="D38" s="22" t="s">
        <v>66</v>
      </c>
      <c r="E38" s="22" t="s">
        <v>332</v>
      </c>
      <c r="F38" s="22" t="s">
        <v>333</v>
      </c>
      <c r="G38" s="22">
        <v>-35.7172246</v>
      </c>
      <c r="H38" s="22">
        <v>143.1049594</v>
      </c>
      <c r="I38" s="26">
        <v>0.0</v>
      </c>
      <c r="J38" s="26">
        <v>0.0</v>
      </c>
      <c r="K38" s="26">
        <v>0.0</v>
      </c>
      <c r="L38" s="26">
        <v>1.0</v>
      </c>
      <c r="M38" s="26">
        <v>0.0</v>
      </c>
      <c r="N38" s="26">
        <v>0.0</v>
      </c>
      <c r="O38" s="26">
        <v>1.0</v>
      </c>
      <c r="P38" s="22" t="s">
        <v>118</v>
      </c>
      <c r="Q38" s="22" t="s">
        <v>40</v>
      </c>
      <c r="R38" s="22" t="s">
        <v>100</v>
      </c>
      <c r="S38" s="28">
        <v>6.0</v>
      </c>
      <c r="T38" s="22" t="s">
        <v>322</v>
      </c>
    </row>
    <row r="39">
      <c r="A39" s="22">
        <v>719.0</v>
      </c>
      <c r="B39" s="22" t="s">
        <v>335</v>
      </c>
      <c r="C39" s="22" t="s">
        <v>282</v>
      </c>
      <c r="D39" s="22" t="s">
        <v>66</v>
      </c>
      <c r="E39" s="22" t="s">
        <v>337</v>
      </c>
      <c r="F39" s="22" t="s">
        <v>339</v>
      </c>
      <c r="G39" s="22">
        <v>-37.977513</v>
      </c>
      <c r="H39" s="22">
        <v>145.222191</v>
      </c>
      <c r="I39" s="26">
        <v>0.0</v>
      </c>
      <c r="J39" s="26">
        <v>1.0</v>
      </c>
      <c r="K39" s="26">
        <v>0.0</v>
      </c>
      <c r="L39" s="26">
        <v>1.0</v>
      </c>
      <c r="M39" s="26">
        <v>0.0</v>
      </c>
      <c r="N39" s="26">
        <v>0.0</v>
      </c>
      <c r="O39" s="26">
        <v>1.0</v>
      </c>
      <c r="P39" s="22" t="s">
        <v>69</v>
      </c>
      <c r="Q39" s="22" t="s">
        <v>72</v>
      </c>
      <c r="R39" s="22" t="s">
        <v>73</v>
      </c>
      <c r="S39" s="28">
        <v>9.0</v>
      </c>
      <c r="T39" s="22" t="s">
        <v>76</v>
      </c>
    </row>
    <row r="40">
      <c r="A40" s="22">
        <v>762.0</v>
      </c>
      <c r="B40" s="22" t="s">
        <v>347</v>
      </c>
      <c r="C40" s="22" t="s">
        <v>282</v>
      </c>
      <c r="D40" s="22" t="s">
        <v>66</v>
      </c>
      <c r="E40" s="22" t="s">
        <v>310</v>
      </c>
      <c r="F40" s="22" t="s">
        <v>350</v>
      </c>
      <c r="G40" s="22">
        <v>-37.7714183</v>
      </c>
      <c r="H40" s="22">
        <v>144.9548219</v>
      </c>
      <c r="I40" s="26">
        <v>0.0</v>
      </c>
      <c r="J40" s="26">
        <v>0.0</v>
      </c>
      <c r="K40" s="26">
        <v>0.0</v>
      </c>
      <c r="L40" s="26">
        <v>1.0</v>
      </c>
      <c r="M40" s="26">
        <v>1.0</v>
      </c>
      <c r="N40" s="26">
        <v>0.0</v>
      </c>
      <c r="O40" s="26">
        <v>1.0</v>
      </c>
      <c r="P40" s="22" t="s">
        <v>169</v>
      </c>
      <c r="Q40" s="22" t="s">
        <v>79</v>
      </c>
      <c r="R40" s="22" t="s">
        <v>73</v>
      </c>
      <c r="S40" s="28">
        <v>9.0</v>
      </c>
      <c r="T40" s="22" t="s">
        <v>76</v>
      </c>
    </row>
    <row r="41">
      <c r="A41" s="22">
        <v>718.0</v>
      </c>
      <c r="B41" s="22" t="s">
        <v>357</v>
      </c>
      <c r="C41" s="22" t="s">
        <v>282</v>
      </c>
      <c r="D41" s="22" t="s">
        <v>66</v>
      </c>
      <c r="E41" s="22"/>
      <c r="F41" s="22" t="s">
        <v>358</v>
      </c>
      <c r="G41" s="22">
        <v>-37.351368</v>
      </c>
      <c r="H41" s="22">
        <v>144.153968</v>
      </c>
      <c r="I41" s="26">
        <v>0.0</v>
      </c>
      <c r="J41" s="26">
        <v>0.0</v>
      </c>
      <c r="K41" s="26">
        <v>0.0</v>
      </c>
      <c r="L41" s="26">
        <v>1.0</v>
      </c>
      <c r="M41" s="26">
        <v>1.0</v>
      </c>
      <c r="N41" s="26">
        <v>0.0</v>
      </c>
      <c r="O41" s="26">
        <v>0.0</v>
      </c>
      <c r="P41" s="22" t="s">
        <v>133</v>
      </c>
      <c r="Q41" s="22" t="s">
        <v>17</v>
      </c>
      <c r="R41" s="22" t="s">
        <v>100</v>
      </c>
      <c r="S41" s="28">
        <v>3.0</v>
      </c>
      <c r="T41" s="22" t="s">
        <v>17</v>
      </c>
    </row>
    <row r="42">
      <c r="A42" s="22">
        <v>764.0</v>
      </c>
      <c r="B42" s="22" t="s">
        <v>359</v>
      </c>
      <c r="C42" s="22" t="s">
        <v>282</v>
      </c>
      <c r="D42" s="22" t="s">
        <v>66</v>
      </c>
      <c r="E42" s="22" t="s">
        <v>360</v>
      </c>
      <c r="F42" s="22" t="s">
        <v>361</v>
      </c>
      <c r="G42" s="22">
        <v>-37.76848</v>
      </c>
      <c r="H42" s="22">
        <v>144.9697473</v>
      </c>
      <c r="I42" s="26">
        <v>0.0</v>
      </c>
      <c r="J42" s="26">
        <v>0.0</v>
      </c>
      <c r="K42" s="26">
        <v>0.0</v>
      </c>
      <c r="L42" s="26">
        <v>1.0</v>
      </c>
      <c r="M42" s="26">
        <v>1.0</v>
      </c>
      <c r="N42" s="26">
        <v>0.0</v>
      </c>
      <c r="O42" s="26">
        <v>0.0</v>
      </c>
      <c r="P42" s="22" t="s">
        <v>86</v>
      </c>
      <c r="Q42" s="22" t="s">
        <v>87</v>
      </c>
      <c r="R42" s="22" t="s">
        <v>73</v>
      </c>
      <c r="S42" s="28">
        <v>0.0</v>
      </c>
      <c r="T42" s="22" t="s">
        <v>228</v>
      </c>
    </row>
    <row r="43">
      <c r="A43" s="22">
        <v>706.0</v>
      </c>
      <c r="B43" s="22" t="s">
        <v>362</v>
      </c>
      <c r="C43" s="22" t="s">
        <v>282</v>
      </c>
      <c r="D43" s="22" t="s">
        <v>66</v>
      </c>
      <c r="E43" s="22" t="s">
        <v>363</v>
      </c>
      <c r="F43" s="22" t="s">
        <v>364</v>
      </c>
      <c r="G43" s="22">
        <v>-37.80698</v>
      </c>
      <c r="H43" s="22">
        <v>144.96663</v>
      </c>
      <c r="I43" s="26">
        <v>0.0</v>
      </c>
      <c r="J43" s="26">
        <v>1.0</v>
      </c>
      <c r="K43" s="26">
        <v>0.0</v>
      </c>
      <c r="L43" s="26">
        <v>1.0</v>
      </c>
      <c r="M43" s="26">
        <v>0.0</v>
      </c>
      <c r="N43" s="26">
        <v>0.0</v>
      </c>
      <c r="O43" s="26">
        <v>1.0</v>
      </c>
      <c r="P43" s="22" t="s">
        <v>133</v>
      </c>
      <c r="Q43" s="22" t="s">
        <v>17</v>
      </c>
      <c r="R43" s="22" t="s">
        <v>100</v>
      </c>
      <c r="S43" s="28">
        <v>3.0</v>
      </c>
      <c r="T43" s="22" t="s">
        <v>17</v>
      </c>
    </row>
    <row r="44">
      <c r="A44" s="22">
        <v>709.0</v>
      </c>
      <c r="B44" s="22" t="s">
        <v>365</v>
      </c>
      <c r="C44" s="22" t="s">
        <v>282</v>
      </c>
      <c r="D44" s="22" t="s">
        <v>66</v>
      </c>
      <c r="E44" s="22" t="s">
        <v>366</v>
      </c>
      <c r="F44" s="22" t="s">
        <v>367</v>
      </c>
      <c r="G44" s="22">
        <v>-37.812498</v>
      </c>
      <c r="H44" s="22">
        <v>144.985885</v>
      </c>
      <c r="I44" s="26">
        <v>0.0</v>
      </c>
      <c r="J44" s="26">
        <v>0.0</v>
      </c>
      <c r="K44" s="26">
        <v>0.0</v>
      </c>
      <c r="L44" s="26">
        <v>1.0</v>
      </c>
      <c r="M44" s="26">
        <v>1.0</v>
      </c>
      <c r="N44" s="26">
        <v>0.0</v>
      </c>
      <c r="O44" s="26">
        <v>0.0</v>
      </c>
      <c r="P44" s="22" t="s">
        <v>169</v>
      </c>
      <c r="Q44" s="22" t="s">
        <v>79</v>
      </c>
      <c r="R44" s="22" t="s">
        <v>73</v>
      </c>
      <c r="S44" s="28">
        <v>9.0</v>
      </c>
      <c r="T44" s="22" t="s">
        <v>76</v>
      </c>
    </row>
    <row r="45">
      <c r="A45" s="22">
        <v>708.0</v>
      </c>
      <c r="B45" s="22" t="s">
        <v>368</v>
      </c>
      <c r="C45" s="22" t="s">
        <v>282</v>
      </c>
      <c r="D45" s="22" t="s">
        <v>66</v>
      </c>
      <c r="E45" s="22" t="s">
        <v>369</v>
      </c>
      <c r="F45" s="22" t="s">
        <v>370</v>
      </c>
      <c r="G45" s="22">
        <v>-37.716653</v>
      </c>
      <c r="H45" s="22">
        <v>145.145796</v>
      </c>
      <c r="I45" s="26">
        <v>0.0</v>
      </c>
      <c r="J45" s="26">
        <v>0.0</v>
      </c>
      <c r="K45" s="26">
        <v>0.0</v>
      </c>
      <c r="L45" s="26">
        <v>1.0</v>
      </c>
      <c r="M45" s="26">
        <v>1.0</v>
      </c>
      <c r="N45" s="26">
        <v>0.0</v>
      </c>
      <c r="O45" s="26">
        <v>1.0</v>
      </c>
      <c r="P45" s="22" t="s">
        <v>169</v>
      </c>
      <c r="Q45" s="22" t="s">
        <v>79</v>
      </c>
      <c r="R45" s="22" t="s">
        <v>73</v>
      </c>
      <c r="S45" s="28">
        <v>9.0</v>
      </c>
      <c r="T45" s="22" t="s">
        <v>76</v>
      </c>
    </row>
    <row r="46">
      <c r="A46" s="22">
        <v>765.0</v>
      </c>
      <c r="B46" s="22" t="s">
        <v>373</v>
      </c>
      <c r="C46" s="22" t="s">
        <v>282</v>
      </c>
      <c r="D46" s="22" t="s">
        <v>66</v>
      </c>
      <c r="E46" s="22" t="s">
        <v>369</v>
      </c>
      <c r="F46" s="22" t="s">
        <v>374</v>
      </c>
      <c r="G46" s="22">
        <v>-37.707192</v>
      </c>
      <c r="H46" s="22">
        <v>145.166241</v>
      </c>
      <c r="I46" s="26">
        <v>0.0</v>
      </c>
      <c r="J46" s="26">
        <v>0.0</v>
      </c>
      <c r="K46" s="26">
        <v>0.0</v>
      </c>
      <c r="L46" s="26">
        <v>1.0</v>
      </c>
      <c r="M46" s="26">
        <v>1.0</v>
      </c>
      <c r="N46" s="26">
        <v>0.0</v>
      </c>
      <c r="O46" s="26">
        <v>1.0</v>
      </c>
      <c r="P46" s="22" t="s">
        <v>169</v>
      </c>
      <c r="Q46" s="22" t="s">
        <v>79</v>
      </c>
      <c r="R46" s="22" t="s">
        <v>73</v>
      </c>
      <c r="S46" s="28">
        <v>9.0</v>
      </c>
      <c r="T46" s="22" t="s">
        <v>76</v>
      </c>
    </row>
    <row r="47">
      <c r="A47" s="22">
        <v>588.0</v>
      </c>
      <c r="B47" s="22" t="s">
        <v>381</v>
      </c>
      <c r="C47" s="22" t="s">
        <v>382</v>
      </c>
      <c r="D47" s="22" t="s">
        <v>84</v>
      </c>
      <c r="E47" s="22" t="s">
        <v>383</v>
      </c>
      <c r="F47" s="22" t="s">
        <v>385</v>
      </c>
      <c r="G47" s="22">
        <v>-33.8340455</v>
      </c>
      <c r="H47" s="22">
        <v>116.3866501</v>
      </c>
      <c r="I47" s="26">
        <v>1.0</v>
      </c>
      <c r="J47" s="26">
        <v>0.0</v>
      </c>
      <c r="K47" s="26">
        <v>1.0</v>
      </c>
      <c r="L47" s="26">
        <v>1.0</v>
      </c>
      <c r="M47" s="26">
        <v>0.0</v>
      </c>
      <c r="N47" s="26">
        <v>0.0</v>
      </c>
      <c r="O47" s="26">
        <v>1.0</v>
      </c>
      <c r="P47" s="22" t="s">
        <v>388</v>
      </c>
      <c r="Q47" s="22" t="s">
        <v>13</v>
      </c>
      <c r="R47" s="22" t="s">
        <v>100</v>
      </c>
      <c r="S47" s="28">
        <v>0.0</v>
      </c>
      <c r="T47" s="22" t="s">
        <v>228</v>
      </c>
    </row>
    <row r="48">
      <c r="A48" s="22">
        <v>589.0</v>
      </c>
      <c r="B48" s="22" t="s">
        <v>391</v>
      </c>
      <c r="C48" s="22" t="s">
        <v>382</v>
      </c>
      <c r="D48" s="22" t="s">
        <v>84</v>
      </c>
      <c r="E48" s="22" t="s">
        <v>392</v>
      </c>
      <c r="F48" s="22" t="s">
        <v>394</v>
      </c>
      <c r="G48" s="22">
        <v>-31.9527824</v>
      </c>
      <c r="H48" s="22">
        <v>115.8518937</v>
      </c>
      <c r="I48" s="26">
        <v>0.0</v>
      </c>
      <c r="J48" s="26">
        <v>1.0</v>
      </c>
      <c r="K48" s="26">
        <v>0.0</v>
      </c>
      <c r="L48" s="26">
        <v>1.0</v>
      </c>
      <c r="M48" s="26">
        <v>0.0</v>
      </c>
      <c r="N48" s="26">
        <v>0.0</v>
      </c>
      <c r="O48" s="26">
        <v>0.0</v>
      </c>
      <c r="P48" s="22" t="s">
        <v>98</v>
      </c>
      <c r="Q48" s="22" t="s">
        <v>47</v>
      </c>
      <c r="R48" s="22" t="s">
        <v>100</v>
      </c>
      <c r="S48" s="28">
        <v>7.0</v>
      </c>
      <c r="T48" s="22" t="s">
        <v>101</v>
      </c>
    </row>
    <row r="49">
      <c r="A49" s="22">
        <v>604.0</v>
      </c>
      <c r="B49" s="22" t="s">
        <v>401</v>
      </c>
      <c r="C49" s="22" t="s">
        <v>382</v>
      </c>
      <c r="D49" s="22" t="s">
        <v>84</v>
      </c>
      <c r="E49" s="22" t="s">
        <v>404</v>
      </c>
      <c r="F49" s="30" t="s">
        <v>406</v>
      </c>
      <c r="G49" s="22">
        <v>-12.16205</v>
      </c>
      <c r="H49" s="22">
        <v>96.82136</v>
      </c>
      <c r="I49" s="26">
        <v>0.0</v>
      </c>
      <c r="J49" s="26">
        <v>1.0</v>
      </c>
      <c r="K49" s="26">
        <v>0.0</v>
      </c>
      <c r="L49" s="26">
        <v>1.0</v>
      </c>
      <c r="M49" s="26">
        <v>0.0</v>
      </c>
      <c r="N49" s="26">
        <v>0.0</v>
      </c>
      <c r="O49" s="26">
        <v>1.0</v>
      </c>
      <c r="P49" s="22" t="s">
        <v>411</v>
      </c>
      <c r="Q49" s="22" t="s">
        <v>44</v>
      </c>
      <c r="R49" s="22" t="s">
        <v>100</v>
      </c>
      <c r="S49" s="28">
        <v>6.0</v>
      </c>
      <c r="T49" s="22" t="s">
        <v>322</v>
      </c>
    </row>
    <row r="50">
      <c r="A50" s="22">
        <v>608.0</v>
      </c>
      <c r="B50" s="22" t="s">
        <v>417</v>
      </c>
      <c r="C50" s="22" t="s">
        <v>382</v>
      </c>
      <c r="D50" s="22" t="s">
        <v>84</v>
      </c>
      <c r="E50" s="22" t="s">
        <v>419</v>
      </c>
      <c r="F50" s="22" t="s">
        <v>421</v>
      </c>
      <c r="G50" s="22">
        <v>-31.898674</v>
      </c>
      <c r="H50" s="22">
        <v>116.017897</v>
      </c>
      <c r="I50" s="26">
        <v>0.0</v>
      </c>
      <c r="J50" s="26">
        <v>0.0</v>
      </c>
      <c r="K50" s="26">
        <v>0.0</v>
      </c>
      <c r="L50" s="26">
        <v>1.0</v>
      </c>
      <c r="M50" s="26">
        <v>0.0</v>
      </c>
      <c r="N50" s="26">
        <v>1.0</v>
      </c>
      <c r="O50" s="26">
        <v>0.0</v>
      </c>
      <c r="P50" s="22" t="s">
        <v>133</v>
      </c>
      <c r="Q50" s="22" t="s">
        <v>17</v>
      </c>
      <c r="R50" s="22" t="s">
        <v>100</v>
      </c>
      <c r="S50" s="28">
        <v>3.0</v>
      </c>
      <c r="T50" s="22" t="s">
        <v>17</v>
      </c>
    </row>
    <row r="51">
      <c r="A51" s="22">
        <v>591.0</v>
      </c>
      <c r="B51" s="22" t="s">
        <v>431</v>
      </c>
      <c r="C51" s="22" t="s">
        <v>382</v>
      </c>
      <c r="D51" s="22" t="s">
        <v>84</v>
      </c>
      <c r="E51" s="22" t="s">
        <v>432</v>
      </c>
      <c r="F51" s="22" t="s">
        <v>434</v>
      </c>
      <c r="G51" s="22">
        <v>-24.8647054</v>
      </c>
      <c r="H51" s="22">
        <v>113.6859851</v>
      </c>
      <c r="I51" s="26">
        <v>0.0</v>
      </c>
      <c r="J51" s="26">
        <v>1.0</v>
      </c>
      <c r="K51" s="26">
        <v>0.0</v>
      </c>
      <c r="L51" s="26">
        <v>1.0</v>
      </c>
      <c r="M51" s="26">
        <v>0.0</v>
      </c>
      <c r="N51" s="26">
        <v>0.0</v>
      </c>
      <c r="O51" s="26">
        <v>0.0</v>
      </c>
      <c r="P51" s="22" t="s">
        <v>439</v>
      </c>
      <c r="Q51" s="22" t="s">
        <v>22</v>
      </c>
      <c r="R51" s="22" t="s">
        <v>73</v>
      </c>
      <c r="S51" s="28">
        <v>1.0</v>
      </c>
      <c r="T51" s="22" t="s">
        <v>441</v>
      </c>
    </row>
    <row r="52">
      <c r="A52" s="22">
        <v>590.0</v>
      </c>
      <c r="B52" s="22" t="s">
        <v>442</v>
      </c>
      <c r="C52" s="22" t="s">
        <v>382</v>
      </c>
      <c r="D52" s="22" t="s">
        <v>84</v>
      </c>
      <c r="E52" s="22" t="s">
        <v>432</v>
      </c>
      <c r="F52" s="22" t="s">
        <v>434</v>
      </c>
      <c r="G52" s="22">
        <v>-24.8647054</v>
      </c>
      <c r="H52" s="22">
        <v>113.6859851</v>
      </c>
      <c r="I52" s="26">
        <v>0.0</v>
      </c>
      <c r="J52" s="26">
        <v>0.0</v>
      </c>
      <c r="K52" s="26">
        <v>0.0</v>
      </c>
      <c r="L52" s="26">
        <v>1.0</v>
      </c>
      <c r="M52" s="26">
        <v>0.0</v>
      </c>
      <c r="N52" s="26">
        <v>0.0</v>
      </c>
      <c r="O52" s="26">
        <v>1.0</v>
      </c>
      <c r="P52" s="22" t="s">
        <v>439</v>
      </c>
      <c r="Q52" s="22" t="s">
        <v>22</v>
      </c>
      <c r="R52" s="22" t="s">
        <v>73</v>
      </c>
      <c r="S52" s="28">
        <v>1.0</v>
      </c>
      <c r="T52" s="22" t="s">
        <v>441</v>
      </c>
    </row>
    <row r="53">
      <c r="A53" s="22">
        <v>592.0</v>
      </c>
      <c r="B53" s="22" t="s">
        <v>450</v>
      </c>
      <c r="C53" s="22" t="s">
        <v>382</v>
      </c>
      <c r="D53" s="22" t="s">
        <v>84</v>
      </c>
      <c r="E53" s="22" t="s">
        <v>453</v>
      </c>
      <c r="F53" s="22" t="s">
        <v>454</v>
      </c>
      <c r="G53" s="22">
        <v>-28.7321648</v>
      </c>
      <c r="H53" s="22">
        <v>114.6581573</v>
      </c>
      <c r="I53" s="26">
        <v>0.0</v>
      </c>
      <c r="J53" s="26">
        <v>0.0</v>
      </c>
      <c r="K53" s="26">
        <v>0.0</v>
      </c>
      <c r="L53" s="26">
        <v>1.0</v>
      </c>
      <c r="M53" s="26">
        <v>0.0</v>
      </c>
      <c r="N53" s="26">
        <v>1.0</v>
      </c>
      <c r="O53" s="26">
        <v>0.0</v>
      </c>
      <c r="P53" s="22" t="s">
        <v>388</v>
      </c>
      <c r="Q53" s="22" t="s">
        <v>13</v>
      </c>
      <c r="R53" s="22" t="s">
        <v>100</v>
      </c>
      <c r="S53" s="28">
        <v>0.0</v>
      </c>
      <c r="T53" s="22" t="s">
        <v>228</v>
      </c>
    </row>
    <row r="54">
      <c r="A54" s="22">
        <v>621.0</v>
      </c>
      <c r="B54" s="22" t="s">
        <v>461</v>
      </c>
      <c r="C54" s="22" t="s">
        <v>382</v>
      </c>
      <c r="D54" s="22" t="s">
        <v>84</v>
      </c>
      <c r="E54" s="22" t="s">
        <v>463</v>
      </c>
      <c r="F54" s="22" t="s">
        <v>464</v>
      </c>
      <c r="G54" s="22">
        <v>-34.626295</v>
      </c>
      <c r="H54" s="22">
        <v>117.661841</v>
      </c>
      <c r="I54" s="26">
        <v>0.0</v>
      </c>
      <c r="J54" s="26">
        <v>0.0</v>
      </c>
      <c r="K54" s="26">
        <v>1.0</v>
      </c>
      <c r="L54" s="26">
        <v>1.0</v>
      </c>
      <c r="M54" s="26">
        <v>0.0</v>
      </c>
      <c r="N54" s="26">
        <v>0.0</v>
      </c>
      <c r="O54" s="26">
        <v>1.0</v>
      </c>
      <c r="P54" s="22" t="s">
        <v>118</v>
      </c>
      <c r="Q54" s="22" t="s">
        <v>40</v>
      </c>
      <c r="R54" s="22" t="s">
        <v>100</v>
      </c>
      <c r="S54" s="28">
        <v>6.0</v>
      </c>
      <c r="T54" s="22" t="s">
        <v>322</v>
      </c>
    </row>
    <row r="55">
      <c r="A55" s="22">
        <v>627.0</v>
      </c>
      <c r="B55" s="22" t="s">
        <v>470</v>
      </c>
      <c r="C55" s="22" t="s">
        <v>382</v>
      </c>
      <c r="D55" s="22" t="s">
        <v>84</v>
      </c>
      <c r="E55" s="22" t="s">
        <v>473</v>
      </c>
      <c r="F55" s="22" t="s">
        <v>475</v>
      </c>
      <c r="G55" s="22">
        <v>-15.712605</v>
      </c>
      <c r="H55" s="22">
        <v>128.737361</v>
      </c>
      <c r="I55" s="26">
        <v>0.0</v>
      </c>
      <c r="J55" s="26">
        <v>0.0</v>
      </c>
      <c r="K55" s="26">
        <v>1.0</v>
      </c>
      <c r="L55" s="26">
        <v>1.0</v>
      </c>
      <c r="M55" s="26">
        <v>0.0</v>
      </c>
      <c r="N55" s="26">
        <v>0.0</v>
      </c>
      <c r="O55" s="26">
        <v>1.0</v>
      </c>
      <c r="P55" s="22" t="s">
        <v>388</v>
      </c>
      <c r="Q55" s="22" t="s">
        <v>13</v>
      </c>
      <c r="R55" s="22" t="s">
        <v>100</v>
      </c>
      <c r="S55" s="28">
        <v>0.0</v>
      </c>
      <c r="T55" s="22" t="s">
        <v>228</v>
      </c>
    </row>
    <row r="56">
      <c r="A56" s="22">
        <v>628.0</v>
      </c>
      <c r="B56" s="22" t="s">
        <v>481</v>
      </c>
      <c r="C56" s="22" t="s">
        <v>382</v>
      </c>
      <c r="D56" s="22" t="s">
        <v>84</v>
      </c>
      <c r="E56" s="22" t="s">
        <v>482</v>
      </c>
      <c r="F56" s="22" t="s">
        <v>483</v>
      </c>
      <c r="G56" s="22">
        <v>-33.5787212</v>
      </c>
      <c r="H56" s="22">
        <v>115.935352</v>
      </c>
      <c r="I56" s="26">
        <v>0.0</v>
      </c>
      <c r="J56" s="26">
        <v>0.0</v>
      </c>
      <c r="K56" s="26">
        <v>1.0</v>
      </c>
      <c r="L56" s="26">
        <v>1.0</v>
      </c>
      <c r="M56" s="26">
        <v>0.0</v>
      </c>
      <c r="N56" s="26">
        <v>0.0</v>
      </c>
      <c r="O56" s="26">
        <v>0.0</v>
      </c>
      <c r="P56" s="22" t="s">
        <v>388</v>
      </c>
      <c r="Q56" s="22" t="s">
        <v>13</v>
      </c>
      <c r="R56" s="22" t="s">
        <v>100</v>
      </c>
      <c r="S56" s="28">
        <v>2.0</v>
      </c>
      <c r="T56" s="22" t="s">
        <v>488</v>
      </c>
    </row>
    <row r="57">
      <c r="A57" s="22">
        <v>635.0</v>
      </c>
      <c r="B57" s="22" t="s">
        <v>489</v>
      </c>
      <c r="C57" s="22" t="s">
        <v>382</v>
      </c>
      <c r="D57" s="22" t="s">
        <v>84</v>
      </c>
      <c r="E57" s="22" t="s">
        <v>492</v>
      </c>
      <c r="F57" s="22" t="s">
        <v>493</v>
      </c>
      <c r="G57" s="22">
        <v>-33.094975</v>
      </c>
      <c r="H57" s="22">
        <v>115.902118</v>
      </c>
      <c r="I57" s="26">
        <v>0.0</v>
      </c>
      <c r="J57" s="26">
        <v>1.0</v>
      </c>
      <c r="K57" s="26">
        <v>1.0</v>
      </c>
      <c r="L57" s="26">
        <v>1.0</v>
      </c>
      <c r="M57" s="26">
        <v>1.0</v>
      </c>
      <c r="N57" s="26">
        <v>0.0</v>
      </c>
      <c r="O57" s="26">
        <v>1.0</v>
      </c>
      <c r="P57" s="22" t="s">
        <v>439</v>
      </c>
      <c r="Q57" s="22" t="s">
        <v>22</v>
      </c>
      <c r="R57" s="22" t="s">
        <v>73</v>
      </c>
      <c r="S57" s="28">
        <v>1.0</v>
      </c>
      <c r="T57" s="22" t="s">
        <v>441</v>
      </c>
    </row>
    <row r="58">
      <c r="A58" s="22">
        <v>636.0</v>
      </c>
      <c r="B58" s="22" t="s">
        <v>499</v>
      </c>
      <c r="C58" s="22" t="s">
        <v>382</v>
      </c>
      <c r="D58" s="22" t="s">
        <v>84</v>
      </c>
      <c r="E58" s="22" t="s">
        <v>492</v>
      </c>
      <c r="F58" s="22" t="s">
        <v>493</v>
      </c>
      <c r="G58" s="22">
        <v>-33.094975</v>
      </c>
      <c r="H58" s="22">
        <v>115.902118</v>
      </c>
      <c r="I58" s="26">
        <v>0.0</v>
      </c>
      <c r="J58" s="26">
        <v>1.0</v>
      </c>
      <c r="K58" s="26">
        <v>1.0</v>
      </c>
      <c r="L58" s="26">
        <v>1.0</v>
      </c>
      <c r="M58" s="26">
        <v>1.0</v>
      </c>
      <c r="N58" s="26">
        <v>0.0</v>
      </c>
      <c r="O58" s="26">
        <v>1.0</v>
      </c>
      <c r="P58" s="22" t="s">
        <v>439</v>
      </c>
      <c r="Q58" s="22" t="s">
        <v>22</v>
      </c>
      <c r="R58" s="22" t="s">
        <v>73</v>
      </c>
      <c r="S58" s="28">
        <v>1.0</v>
      </c>
      <c r="T58" s="22" t="s">
        <v>441</v>
      </c>
    </row>
    <row r="59">
      <c r="A59" s="22">
        <v>644.0</v>
      </c>
      <c r="B59" s="22" t="s">
        <v>504</v>
      </c>
      <c r="C59" s="22" t="s">
        <v>382</v>
      </c>
      <c r="D59" s="22" t="s">
        <v>84</v>
      </c>
      <c r="E59" s="22" t="s">
        <v>505</v>
      </c>
      <c r="F59" s="22" t="s">
        <v>506</v>
      </c>
      <c r="G59" s="22">
        <v>-32.066814</v>
      </c>
      <c r="H59" s="22">
        <v>115.898828</v>
      </c>
      <c r="I59" s="26">
        <v>0.0</v>
      </c>
      <c r="J59" s="26">
        <v>0.0</v>
      </c>
      <c r="K59" s="26">
        <v>1.0</v>
      </c>
      <c r="L59" s="26">
        <v>1.0</v>
      </c>
      <c r="M59" s="26">
        <v>0.0</v>
      </c>
      <c r="N59" s="26">
        <v>0.0</v>
      </c>
      <c r="O59" s="26">
        <v>0.0</v>
      </c>
      <c r="P59" s="22" t="s">
        <v>133</v>
      </c>
      <c r="Q59" s="22" t="s">
        <v>17</v>
      </c>
      <c r="R59" s="22" t="s">
        <v>100</v>
      </c>
      <c r="S59" s="28">
        <v>3.0</v>
      </c>
      <c r="T59" s="22" t="s">
        <v>17</v>
      </c>
    </row>
    <row r="60">
      <c r="A60" s="22">
        <v>649.0</v>
      </c>
      <c r="B60" s="22" t="s">
        <v>507</v>
      </c>
      <c r="C60" s="22" t="s">
        <v>382</v>
      </c>
      <c r="D60" s="22" t="s">
        <v>84</v>
      </c>
      <c r="E60" s="22" t="s">
        <v>508</v>
      </c>
      <c r="F60" s="22" t="s">
        <v>509</v>
      </c>
      <c r="G60" s="22">
        <v>-32.010472</v>
      </c>
      <c r="H60" s="22">
        <v>115.855191</v>
      </c>
      <c r="I60" s="26">
        <v>0.0</v>
      </c>
      <c r="J60" s="26">
        <v>1.0</v>
      </c>
      <c r="K60" s="26">
        <v>1.0</v>
      </c>
      <c r="L60" s="26">
        <v>1.0</v>
      </c>
      <c r="M60" s="26">
        <v>1.0</v>
      </c>
      <c r="N60" s="26">
        <v>0.0</v>
      </c>
      <c r="O60" s="26">
        <v>0.0</v>
      </c>
      <c r="P60" s="22" t="s">
        <v>510</v>
      </c>
      <c r="Q60" s="22" t="s">
        <v>31</v>
      </c>
      <c r="R60" s="22" t="s">
        <v>100</v>
      </c>
      <c r="S60" s="28">
        <v>5.0</v>
      </c>
      <c r="T60" s="22" t="s">
        <v>31</v>
      </c>
    </row>
    <row r="61">
      <c r="A61" s="22">
        <v>650.0</v>
      </c>
      <c r="B61" s="22" t="s">
        <v>511</v>
      </c>
      <c r="C61" s="22" t="s">
        <v>382</v>
      </c>
      <c r="D61" s="22" t="s">
        <v>84</v>
      </c>
      <c r="E61" s="22" t="s">
        <v>512</v>
      </c>
      <c r="F61" s="22" t="s">
        <v>513</v>
      </c>
      <c r="G61" s="22">
        <v>-31.9608972</v>
      </c>
      <c r="H61" s="22">
        <v>115.873863</v>
      </c>
      <c r="I61" s="26">
        <v>0.0</v>
      </c>
      <c r="J61" s="26">
        <v>1.0</v>
      </c>
      <c r="K61" s="26">
        <v>1.0</v>
      </c>
      <c r="L61" s="26">
        <v>1.0</v>
      </c>
      <c r="M61" s="26">
        <v>0.0</v>
      </c>
      <c r="N61" s="26">
        <v>0.0</v>
      </c>
      <c r="O61" s="26">
        <v>0.0</v>
      </c>
      <c r="P61" s="22" t="s">
        <v>388</v>
      </c>
      <c r="Q61" s="22" t="s">
        <v>13</v>
      </c>
      <c r="R61" s="22" t="s">
        <v>100</v>
      </c>
      <c r="S61" s="28">
        <v>2.0</v>
      </c>
      <c r="T61" s="22" t="s">
        <v>488</v>
      </c>
    </row>
    <row r="62">
      <c r="A62" s="22">
        <v>700.0</v>
      </c>
      <c r="B62" s="22" t="s">
        <v>514</v>
      </c>
      <c r="C62" s="22" t="s">
        <v>515</v>
      </c>
      <c r="D62" s="22" t="s">
        <v>71</v>
      </c>
      <c r="E62" s="22" t="s">
        <v>516</v>
      </c>
      <c r="F62" s="22" t="s">
        <v>517</v>
      </c>
      <c r="G62" s="22">
        <v>-27.39972</v>
      </c>
      <c r="H62" s="22">
        <v>152.80902</v>
      </c>
      <c r="I62" s="26">
        <v>0.0</v>
      </c>
      <c r="J62" s="26">
        <v>0.0</v>
      </c>
      <c r="K62" s="26">
        <v>0.0</v>
      </c>
      <c r="L62" s="26">
        <v>1.0</v>
      </c>
      <c r="M62" s="26">
        <v>0.0</v>
      </c>
      <c r="N62" s="26">
        <v>0.0</v>
      </c>
      <c r="O62" s="26">
        <v>1.0</v>
      </c>
      <c r="P62" s="22" t="s">
        <v>86</v>
      </c>
      <c r="Q62" s="22" t="s">
        <v>87</v>
      </c>
      <c r="R62" s="22" t="s">
        <v>73</v>
      </c>
      <c r="S62" s="28">
        <v>9.0</v>
      </c>
      <c r="T62" s="22" t="s">
        <v>76</v>
      </c>
    </row>
    <row r="63">
      <c r="A63" s="22">
        <v>688.0</v>
      </c>
      <c r="B63" s="22" t="s">
        <v>518</v>
      </c>
      <c r="C63" s="22" t="s">
        <v>515</v>
      </c>
      <c r="D63" s="22" t="s">
        <v>71</v>
      </c>
      <c r="E63" s="22" t="s">
        <v>519</v>
      </c>
      <c r="F63" s="22" t="s">
        <v>520</v>
      </c>
      <c r="G63" s="22">
        <v>-24.8874</v>
      </c>
      <c r="H63" s="22">
        <v>152.32634</v>
      </c>
      <c r="I63" s="26">
        <v>0.0</v>
      </c>
      <c r="J63" s="26">
        <v>0.0</v>
      </c>
      <c r="K63" s="26">
        <v>0.0</v>
      </c>
      <c r="L63" s="26">
        <v>1.0</v>
      </c>
      <c r="M63" s="26">
        <v>1.0</v>
      </c>
      <c r="N63" s="26">
        <v>0.0</v>
      </c>
      <c r="O63" s="26">
        <v>1.0</v>
      </c>
      <c r="P63" s="22" t="s">
        <v>125</v>
      </c>
      <c r="Q63" s="22" t="s">
        <v>58</v>
      </c>
      <c r="R63" s="22" t="s">
        <v>73</v>
      </c>
      <c r="S63" s="28">
        <v>8.0</v>
      </c>
      <c r="T63" s="22" t="s">
        <v>285</v>
      </c>
    </row>
    <row r="64">
      <c r="A64" s="22">
        <v>758.0</v>
      </c>
      <c r="B64" s="22" t="s">
        <v>521</v>
      </c>
      <c r="C64" s="22" t="s">
        <v>515</v>
      </c>
      <c r="D64" s="22" t="s">
        <v>71</v>
      </c>
      <c r="E64" s="22" t="s">
        <v>522</v>
      </c>
      <c r="F64" s="22" t="s">
        <v>523</v>
      </c>
      <c r="G64" s="22">
        <v>-16.92374</v>
      </c>
      <c r="H64" s="22">
        <v>145.77601</v>
      </c>
      <c r="I64" s="26">
        <v>0.0</v>
      </c>
      <c r="J64" s="26">
        <v>0.0</v>
      </c>
      <c r="K64" s="26">
        <v>0.0</v>
      </c>
      <c r="L64" s="26">
        <v>1.0</v>
      </c>
      <c r="M64" s="26">
        <v>0.0</v>
      </c>
      <c r="N64" s="26">
        <v>0.0</v>
      </c>
      <c r="O64" s="26">
        <v>1.0</v>
      </c>
      <c r="P64" s="22" t="s">
        <v>321</v>
      </c>
      <c r="Q64" s="22" t="s">
        <v>36</v>
      </c>
      <c r="R64" s="22" t="s">
        <v>73</v>
      </c>
      <c r="S64" s="28">
        <v>2.0</v>
      </c>
      <c r="T64" s="22" t="s">
        <v>119</v>
      </c>
    </row>
    <row r="65">
      <c r="A65" s="22">
        <v>687.0</v>
      </c>
      <c r="B65" s="22" t="s">
        <v>524</v>
      </c>
      <c r="C65" s="22" t="s">
        <v>515</v>
      </c>
      <c r="D65" s="22" t="s">
        <v>71</v>
      </c>
      <c r="E65" s="22" t="s">
        <v>525</v>
      </c>
      <c r="F65" s="22" t="s">
        <v>526</v>
      </c>
      <c r="G65" s="22">
        <v>-26.722717</v>
      </c>
      <c r="H65" s="22">
        <v>152.770114</v>
      </c>
      <c r="I65" s="26">
        <v>0.0</v>
      </c>
      <c r="J65" s="26">
        <v>0.0</v>
      </c>
      <c r="K65" s="26">
        <v>0.0</v>
      </c>
      <c r="L65" s="26">
        <v>1.0</v>
      </c>
      <c r="M65" s="26">
        <v>1.0</v>
      </c>
      <c r="N65" s="26">
        <v>0.0</v>
      </c>
      <c r="O65" s="26">
        <v>1.0</v>
      </c>
      <c r="P65" s="22" t="s">
        <v>125</v>
      </c>
      <c r="Q65" s="22" t="s">
        <v>58</v>
      </c>
      <c r="R65" s="22" t="s">
        <v>73</v>
      </c>
      <c r="S65" s="28">
        <v>8.0</v>
      </c>
      <c r="T65" s="22" t="s">
        <v>285</v>
      </c>
    </row>
    <row r="66">
      <c r="A66" s="22">
        <v>689.0</v>
      </c>
      <c r="B66" s="22" t="s">
        <v>527</v>
      </c>
      <c r="C66" s="22" t="s">
        <v>515</v>
      </c>
      <c r="D66" s="22" t="s">
        <v>71</v>
      </c>
      <c r="E66" s="22" t="s">
        <v>528</v>
      </c>
      <c r="F66" s="22" t="s">
        <v>529</v>
      </c>
      <c r="G66" s="22">
        <v>-26.857674</v>
      </c>
      <c r="H66" s="22">
        <v>152.95785</v>
      </c>
      <c r="I66" s="26">
        <v>0.0</v>
      </c>
      <c r="J66" s="26">
        <v>0.0</v>
      </c>
      <c r="K66" s="26">
        <v>1.0</v>
      </c>
      <c r="L66" s="26">
        <v>1.0</v>
      </c>
      <c r="M66" s="26">
        <v>0.0</v>
      </c>
      <c r="N66" s="26">
        <v>0.0</v>
      </c>
      <c r="O66" s="26">
        <v>1.0</v>
      </c>
      <c r="P66" s="22" t="s">
        <v>388</v>
      </c>
      <c r="Q66" s="22" t="s">
        <v>13</v>
      </c>
      <c r="R66" s="22" t="s">
        <v>100</v>
      </c>
      <c r="S66" s="28">
        <v>4.0</v>
      </c>
      <c r="T66" s="22" t="s">
        <v>530</v>
      </c>
    </row>
    <row r="67">
      <c r="A67" s="22">
        <v>679.0</v>
      </c>
      <c r="B67" s="22" t="s">
        <v>531</v>
      </c>
      <c r="C67" s="22" t="s">
        <v>515</v>
      </c>
      <c r="D67" s="22" t="s">
        <v>71</v>
      </c>
      <c r="E67" s="22" t="s">
        <v>532</v>
      </c>
      <c r="F67" s="22" t="s">
        <v>533</v>
      </c>
      <c r="G67" s="22">
        <v>-26.778344</v>
      </c>
      <c r="H67" s="22">
        <v>152.720237</v>
      </c>
      <c r="I67" s="26">
        <v>0.0</v>
      </c>
      <c r="J67" s="26">
        <v>0.0</v>
      </c>
      <c r="K67" s="26">
        <v>0.0</v>
      </c>
      <c r="L67" s="26">
        <v>1.0</v>
      </c>
      <c r="M67" s="26">
        <v>0.0</v>
      </c>
      <c r="N67" s="26">
        <v>0.0</v>
      </c>
      <c r="O67" s="26">
        <v>1.0</v>
      </c>
      <c r="P67" s="22" t="s">
        <v>534</v>
      </c>
      <c r="Q67" s="22" t="s">
        <v>92</v>
      </c>
      <c r="R67" s="22" t="s">
        <v>73</v>
      </c>
      <c r="S67" s="28">
        <v>7.0</v>
      </c>
      <c r="T67" s="22" t="s">
        <v>535</v>
      </c>
    </row>
    <row r="68">
      <c r="A68" s="22">
        <v>763.0</v>
      </c>
      <c r="B68" s="22" t="s">
        <v>536</v>
      </c>
      <c r="C68" s="22" t="s">
        <v>515</v>
      </c>
      <c r="D68" s="22" t="s">
        <v>71</v>
      </c>
      <c r="E68" s="22" t="s">
        <v>537</v>
      </c>
      <c r="F68" s="22" t="s">
        <v>538</v>
      </c>
      <c r="G68" s="22">
        <v>-16.2572009</v>
      </c>
      <c r="H68" s="22">
        <v>145.3215775</v>
      </c>
      <c r="I68" s="26">
        <v>0.0</v>
      </c>
      <c r="J68" s="26">
        <v>0.0</v>
      </c>
      <c r="K68" s="26">
        <v>1.0</v>
      </c>
      <c r="L68" s="26">
        <v>1.0</v>
      </c>
      <c r="M68" s="26">
        <v>0.0</v>
      </c>
      <c r="N68" s="26">
        <v>0.0</v>
      </c>
      <c r="O68" s="26">
        <v>0.0</v>
      </c>
      <c r="P68" s="22" t="s">
        <v>125</v>
      </c>
      <c r="Q68" s="22" t="s">
        <v>58</v>
      </c>
      <c r="R68" s="22" t="s">
        <v>100</v>
      </c>
      <c r="S68" s="28">
        <v>7.0</v>
      </c>
      <c r="T68" s="22" t="s">
        <v>535</v>
      </c>
    </row>
    <row r="69">
      <c r="A69" s="22">
        <v>680.0</v>
      </c>
      <c r="B69" s="22" t="s">
        <v>539</v>
      </c>
      <c r="C69" s="22" t="s">
        <v>515</v>
      </c>
      <c r="D69" s="22" t="s">
        <v>71</v>
      </c>
      <c r="E69" s="22" t="s">
        <v>540</v>
      </c>
      <c r="F69" s="22" t="s">
        <v>541</v>
      </c>
      <c r="G69" s="22">
        <v>-27.60087</v>
      </c>
      <c r="H69" s="22">
        <v>151.9145</v>
      </c>
      <c r="I69" s="26">
        <v>0.0</v>
      </c>
      <c r="J69" s="26">
        <v>0.0</v>
      </c>
      <c r="K69" s="26">
        <v>1.0</v>
      </c>
      <c r="L69" s="26">
        <v>1.0</v>
      </c>
      <c r="M69" s="26">
        <v>0.0</v>
      </c>
      <c r="N69" s="26">
        <v>0.0</v>
      </c>
      <c r="O69" s="26">
        <v>0.0</v>
      </c>
      <c r="P69" s="22" t="s">
        <v>118</v>
      </c>
      <c r="Q69" s="22" t="s">
        <v>40</v>
      </c>
      <c r="R69" s="22" t="s">
        <v>100</v>
      </c>
      <c r="S69" s="28">
        <v>2.0</v>
      </c>
      <c r="T69" s="22" t="s">
        <v>119</v>
      </c>
    </row>
    <row r="70">
      <c r="A70" s="22">
        <v>690.0</v>
      </c>
      <c r="B70" s="22" t="s">
        <v>542</v>
      </c>
      <c r="C70" s="22" t="s">
        <v>515</v>
      </c>
      <c r="D70" s="22" t="s">
        <v>71</v>
      </c>
      <c r="E70" s="22" t="s">
        <v>543</v>
      </c>
      <c r="F70" s="22" t="s">
        <v>544</v>
      </c>
      <c r="G70" s="22">
        <v>-27.2393119</v>
      </c>
      <c r="H70" s="22">
        <v>152.4197503</v>
      </c>
      <c r="I70" s="26">
        <v>0.0</v>
      </c>
      <c r="J70" s="26">
        <v>0.0</v>
      </c>
      <c r="K70" s="26">
        <v>0.0</v>
      </c>
      <c r="L70" s="26">
        <v>1.0</v>
      </c>
      <c r="M70" s="26">
        <v>0.0</v>
      </c>
      <c r="N70" s="26">
        <v>0.0</v>
      </c>
      <c r="O70" s="26">
        <v>1.0</v>
      </c>
      <c r="P70" s="22" t="s">
        <v>118</v>
      </c>
      <c r="Q70" s="22" t="s">
        <v>40</v>
      </c>
      <c r="R70" s="22" t="s">
        <v>100</v>
      </c>
      <c r="S70" s="28">
        <v>2.0</v>
      </c>
      <c r="T70" s="22" t="s">
        <v>119</v>
      </c>
    </row>
    <row r="71">
      <c r="A71" s="22">
        <v>685.0</v>
      </c>
      <c r="B71" s="22" t="s">
        <v>545</v>
      </c>
      <c r="C71" s="22" t="s">
        <v>515</v>
      </c>
      <c r="D71" s="22" t="s">
        <v>71</v>
      </c>
      <c r="E71" s="22" t="s">
        <v>546</v>
      </c>
      <c r="F71" s="22" t="s">
        <v>547</v>
      </c>
      <c r="G71" s="22">
        <v>-27.494608</v>
      </c>
      <c r="H71" s="22">
        <v>153.032491</v>
      </c>
      <c r="I71" s="26">
        <v>0.0</v>
      </c>
      <c r="J71" s="26">
        <v>0.0</v>
      </c>
      <c r="K71" s="26">
        <v>0.0</v>
      </c>
      <c r="L71" s="26">
        <v>1.0</v>
      </c>
      <c r="M71" s="26">
        <v>0.0</v>
      </c>
      <c r="N71" s="26">
        <v>0.0</v>
      </c>
      <c r="O71" s="26">
        <v>1.0</v>
      </c>
      <c r="P71" s="22" t="s">
        <v>534</v>
      </c>
      <c r="Q71" s="22" t="s">
        <v>92</v>
      </c>
      <c r="R71" s="22" t="s">
        <v>73</v>
      </c>
      <c r="S71" s="28">
        <v>9.0</v>
      </c>
      <c r="T71" s="22" t="s">
        <v>76</v>
      </c>
    </row>
    <row r="72">
      <c r="A72" s="22">
        <v>654.0</v>
      </c>
      <c r="B72" s="22" t="s">
        <v>548</v>
      </c>
      <c r="C72" s="22" t="s">
        <v>549</v>
      </c>
      <c r="D72" s="22" t="s">
        <v>80</v>
      </c>
      <c r="E72" s="22" t="s">
        <v>550</v>
      </c>
      <c r="F72" s="22" t="s">
        <v>551</v>
      </c>
      <c r="G72" s="22">
        <v>-34.936205</v>
      </c>
      <c r="H72" s="22">
        <v>138.732792</v>
      </c>
      <c r="I72" s="26">
        <v>1.0</v>
      </c>
      <c r="J72" s="26">
        <v>0.0</v>
      </c>
      <c r="K72" s="26">
        <v>0.0</v>
      </c>
      <c r="L72" s="26">
        <v>1.0</v>
      </c>
      <c r="M72" s="26">
        <v>0.0</v>
      </c>
      <c r="N72" s="26">
        <v>0.0</v>
      </c>
      <c r="O72" s="26">
        <v>0.0</v>
      </c>
      <c r="P72" s="22" t="s">
        <v>118</v>
      </c>
      <c r="Q72" s="22" t="s">
        <v>40</v>
      </c>
      <c r="R72" s="22" t="s">
        <v>100</v>
      </c>
      <c r="S72" s="28">
        <v>4.0</v>
      </c>
      <c r="T72" s="22" t="s">
        <v>530</v>
      </c>
    </row>
    <row r="73">
      <c r="A73" s="22">
        <v>657.0</v>
      </c>
      <c r="B73" s="22" t="s">
        <v>552</v>
      </c>
      <c r="C73" s="22" t="s">
        <v>549</v>
      </c>
      <c r="D73" s="22" t="s">
        <v>80</v>
      </c>
      <c r="E73" s="22" t="s">
        <v>553</v>
      </c>
      <c r="F73" s="22" t="s">
        <v>554</v>
      </c>
      <c r="G73" s="22">
        <v>-34.275498</v>
      </c>
      <c r="H73" s="22">
        <v>140.547414</v>
      </c>
      <c r="I73" s="26">
        <v>0.0</v>
      </c>
      <c r="J73" s="26">
        <v>0.0</v>
      </c>
      <c r="K73" s="26">
        <v>1.0</v>
      </c>
      <c r="L73" s="26">
        <v>1.0</v>
      </c>
      <c r="M73" s="26">
        <v>0.0</v>
      </c>
      <c r="N73" s="26">
        <v>0.0</v>
      </c>
      <c r="O73" s="26">
        <v>0.0</v>
      </c>
      <c r="P73" s="22" t="s">
        <v>388</v>
      </c>
      <c r="Q73" s="22" t="s">
        <v>13</v>
      </c>
      <c r="R73" s="22" t="s">
        <v>100</v>
      </c>
      <c r="S73" s="28">
        <v>0.0</v>
      </c>
      <c r="T73" s="22" t="s">
        <v>228</v>
      </c>
    </row>
    <row r="74">
      <c r="A74" s="22">
        <v>658.0</v>
      </c>
      <c r="B74" s="22" t="s">
        <v>555</v>
      </c>
      <c r="C74" s="22" t="s">
        <v>549</v>
      </c>
      <c r="D74" s="22" t="s">
        <v>80</v>
      </c>
      <c r="E74" s="22" t="s">
        <v>556</v>
      </c>
      <c r="F74" s="22" t="s">
        <v>557</v>
      </c>
      <c r="G74" s="22">
        <v>-34.923985</v>
      </c>
      <c r="H74" s="22">
        <v>138.568869</v>
      </c>
      <c r="I74" s="26">
        <v>0.0</v>
      </c>
      <c r="J74" s="26">
        <v>0.0</v>
      </c>
      <c r="K74" s="26">
        <v>0.0</v>
      </c>
      <c r="L74" s="26">
        <v>1.0</v>
      </c>
      <c r="M74" s="26">
        <v>0.0</v>
      </c>
      <c r="N74" s="26">
        <v>0.0</v>
      </c>
      <c r="O74" s="26">
        <v>0.0</v>
      </c>
      <c r="P74" s="22" t="s">
        <v>98</v>
      </c>
      <c r="Q74" s="22" t="s">
        <v>47</v>
      </c>
      <c r="R74" s="22" t="s">
        <v>100</v>
      </c>
      <c r="S74" s="28">
        <v>7.0</v>
      </c>
      <c r="T74" s="22" t="s">
        <v>101</v>
      </c>
    </row>
    <row r="75">
      <c r="A75" s="22">
        <v>664.0</v>
      </c>
      <c r="B75" s="22" t="s">
        <v>558</v>
      </c>
      <c r="C75" s="22" t="s">
        <v>549</v>
      </c>
      <c r="D75" s="22" t="s">
        <v>80</v>
      </c>
      <c r="E75" s="22" t="s">
        <v>559</v>
      </c>
      <c r="F75" s="22" t="s">
        <v>560</v>
      </c>
      <c r="G75" s="22">
        <v>-34.9172746</v>
      </c>
      <c r="H75" s="22">
        <v>138.8301956</v>
      </c>
      <c r="I75" s="26">
        <v>0.0</v>
      </c>
      <c r="J75" s="26">
        <v>0.0</v>
      </c>
      <c r="K75" s="26">
        <v>1.0</v>
      </c>
      <c r="L75" s="26">
        <v>1.0</v>
      </c>
      <c r="M75" s="26">
        <v>0.0</v>
      </c>
      <c r="N75" s="26">
        <v>0.0</v>
      </c>
      <c r="O75" s="26">
        <v>0.0</v>
      </c>
      <c r="P75" s="22" t="s">
        <v>388</v>
      </c>
      <c r="Q75" s="22" t="s">
        <v>13</v>
      </c>
      <c r="R75" s="22" t="s">
        <v>100</v>
      </c>
      <c r="S75" s="28">
        <v>0.0</v>
      </c>
      <c r="T75" s="22" t="s">
        <v>228</v>
      </c>
    </row>
    <row r="76" ht="14.25" customHeight="1">
      <c r="A76" s="22">
        <v>667.0</v>
      </c>
      <c r="B76" s="22" t="s">
        <v>561</v>
      </c>
      <c r="C76" s="22" t="s">
        <v>549</v>
      </c>
      <c r="D76" s="22" t="s">
        <v>80</v>
      </c>
      <c r="E76" s="22" t="s">
        <v>562</v>
      </c>
      <c r="F76" s="22" t="s">
        <v>563</v>
      </c>
      <c r="G76" s="22">
        <v>-34.855159</v>
      </c>
      <c r="H76" s="22">
        <v>138.546161</v>
      </c>
      <c r="I76" s="26">
        <v>0.0</v>
      </c>
      <c r="J76" s="26">
        <v>0.0</v>
      </c>
      <c r="K76" s="26">
        <v>0.0</v>
      </c>
      <c r="L76" s="26">
        <v>1.0</v>
      </c>
      <c r="M76" s="26">
        <v>0.0</v>
      </c>
      <c r="N76" s="26">
        <v>1.0</v>
      </c>
      <c r="O76" s="26">
        <v>0.0</v>
      </c>
      <c r="P76" s="22" t="s">
        <v>321</v>
      </c>
      <c r="Q76" s="22" t="s">
        <v>36</v>
      </c>
      <c r="R76" s="22" t="s">
        <v>100</v>
      </c>
      <c r="S76" s="28">
        <v>8.0</v>
      </c>
      <c r="T76" s="22" t="s">
        <v>285</v>
      </c>
    </row>
    <row r="77">
      <c r="A77" s="22">
        <v>674.0</v>
      </c>
      <c r="B77" s="22" t="s">
        <v>564</v>
      </c>
      <c r="C77" s="22" t="s">
        <v>565</v>
      </c>
      <c r="D77" s="22" t="s">
        <v>89</v>
      </c>
      <c r="E77" s="22" t="s">
        <v>566</v>
      </c>
      <c r="F77" s="22" t="s">
        <v>567</v>
      </c>
      <c r="G77" s="22">
        <v>-42.903103</v>
      </c>
      <c r="H77" s="22">
        <v>147.276593</v>
      </c>
      <c r="I77" s="26">
        <v>0.0</v>
      </c>
      <c r="J77" s="26">
        <v>0.0</v>
      </c>
      <c r="K77" s="26">
        <v>0.0</v>
      </c>
      <c r="L77" s="26">
        <v>1.0</v>
      </c>
      <c r="M77" s="26">
        <v>0.0</v>
      </c>
      <c r="N77" s="26">
        <v>0.0</v>
      </c>
      <c r="O77" s="26">
        <v>1.0</v>
      </c>
      <c r="P77" s="22" t="s">
        <v>251</v>
      </c>
      <c r="Q77" s="22" t="s">
        <v>56</v>
      </c>
      <c r="R77" s="22" t="s">
        <v>73</v>
      </c>
      <c r="S77" s="28">
        <v>7.0</v>
      </c>
      <c r="T77" s="22" t="s">
        <v>535</v>
      </c>
    </row>
    <row r="78">
      <c r="A78" s="22">
        <v>734.0</v>
      </c>
      <c r="B78" s="22" t="s">
        <v>568</v>
      </c>
      <c r="C78" s="22" t="s">
        <v>565</v>
      </c>
      <c r="D78" s="22" t="s">
        <v>89</v>
      </c>
      <c r="E78" s="22" t="s">
        <v>569</v>
      </c>
      <c r="F78" s="22" t="s">
        <v>570</v>
      </c>
      <c r="G78" s="22">
        <v>-42.882509</v>
      </c>
      <c r="H78" s="22">
        <v>147.328123</v>
      </c>
      <c r="I78" s="26">
        <v>0.0</v>
      </c>
      <c r="J78" s="26">
        <v>0.0</v>
      </c>
      <c r="K78" s="26">
        <v>1.0</v>
      </c>
      <c r="L78" s="26">
        <v>1.0</v>
      </c>
      <c r="M78" s="26">
        <v>0.0</v>
      </c>
      <c r="N78" s="26">
        <v>0.0</v>
      </c>
      <c r="O78" s="26">
        <v>0.0</v>
      </c>
      <c r="P78" s="22" t="s">
        <v>118</v>
      </c>
      <c r="Q78" s="22" t="s">
        <v>40</v>
      </c>
      <c r="R78" s="22" t="s">
        <v>100</v>
      </c>
      <c r="S78" s="28">
        <v>2.0</v>
      </c>
      <c r="T78" s="22" t="s">
        <v>119</v>
      </c>
    </row>
    <row r="79">
      <c r="A79" s="22">
        <v>675.0</v>
      </c>
      <c r="B79" s="22" t="s">
        <v>571</v>
      </c>
      <c r="C79" s="22" t="s">
        <v>565</v>
      </c>
      <c r="D79" s="22" t="s">
        <v>89</v>
      </c>
      <c r="E79" s="22" t="s">
        <v>566</v>
      </c>
      <c r="F79" s="22" t="s">
        <v>572</v>
      </c>
      <c r="G79" s="22">
        <v>-42.88849</v>
      </c>
      <c r="H79" s="22">
        <v>147.29071</v>
      </c>
      <c r="I79" s="26">
        <v>0.0</v>
      </c>
      <c r="J79" s="26">
        <v>0.0</v>
      </c>
      <c r="K79" s="26">
        <v>0.0</v>
      </c>
      <c r="L79" s="26">
        <v>1.0</v>
      </c>
      <c r="M79" s="26">
        <v>0.0</v>
      </c>
      <c r="N79" s="26">
        <v>0.0</v>
      </c>
      <c r="O79" s="26">
        <v>1.0</v>
      </c>
      <c r="P79" s="22" t="s">
        <v>439</v>
      </c>
      <c r="Q79" s="22" t="s">
        <v>22</v>
      </c>
      <c r="R79" s="22" t="s">
        <v>73</v>
      </c>
      <c r="S79" s="28">
        <v>1.0</v>
      </c>
      <c r="T79" s="22" t="s">
        <v>441</v>
      </c>
    </row>
    <row r="80">
      <c r="A80" s="22">
        <v>751.0</v>
      </c>
      <c r="B80" s="22" t="s">
        <v>573</v>
      </c>
      <c r="C80" s="22" t="s">
        <v>574</v>
      </c>
      <c r="D80" s="22" t="s">
        <v>103</v>
      </c>
      <c r="E80" s="22" t="s">
        <v>575</v>
      </c>
      <c r="F80" s="22" t="s">
        <v>576</v>
      </c>
      <c r="G80" s="22">
        <v>-35.333351</v>
      </c>
      <c r="H80" s="22">
        <v>149.169765</v>
      </c>
      <c r="I80" s="26">
        <v>0.0</v>
      </c>
      <c r="J80" s="26">
        <v>0.0</v>
      </c>
      <c r="K80" s="26">
        <v>1.0</v>
      </c>
      <c r="L80" s="26">
        <v>1.0</v>
      </c>
      <c r="M80" s="26">
        <v>0.0</v>
      </c>
      <c r="N80" s="26">
        <v>0.0</v>
      </c>
      <c r="O80" s="26">
        <v>0.0</v>
      </c>
      <c r="P80" s="22" t="s">
        <v>321</v>
      </c>
      <c r="Q80" s="22" t="s">
        <v>36</v>
      </c>
      <c r="R80" s="22" t="s">
        <v>100</v>
      </c>
      <c r="S80" s="28">
        <v>4.0</v>
      </c>
      <c r="T80" s="22" t="s">
        <v>530</v>
      </c>
    </row>
    <row r="81">
      <c r="A81" s="22">
        <v>716.0</v>
      </c>
      <c r="B81" s="22" t="s">
        <v>577</v>
      </c>
      <c r="C81" s="22" t="s">
        <v>574</v>
      </c>
      <c r="D81" s="22" t="s">
        <v>103</v>
      </c>
      <c r="E81" s="22" t="s">
        <v>578</v>
      </c>
      <c r="F81" s="22" t="s">
        <v>579</v>
      </c>
      <c r="G81" s="22">
        <v>-35.261474</v>
      </c>
      <c r="H81" s="22">
        <v>149.132202</v>
      </c>
      <c r="I81" s="26">
        <v>1.0</v>
      </c>
      <c r="J81" s="26">
        <v>0.0</v>
      </c>
      <c r="K81" s="26">
        <v>0.0</v>
      </c>
      <c r="L81" s="26">
        <v>1.0</v>
      </c>
      <c r="M81" s="26">
        <v>0.0</v>
      </c>
      <c r="N81" s="26">
        <v>0.0</v>
      </c>
      <c r="O81" s="26">
        <v>0.0</v>
      </c>
      <c r="P81" s="22" t="s">
        <v>251</v>
      </c>
      <c r="Q81" s="22" t="s">
        <v>56</v>
      </c>
      <c r="R81" s="22" t="s">
        <v>100</v>
      </c>
      <c r="S81" s="28">
        <v>7.0</v>
      </c>
      <c r="T81" s="22" t="s">
        <v>535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3.5"/>
    <col customWidth="1" min="4" max="4" width="21.88"/>
    <col customWidth="1" min="5" max="5" width="14.88"/>
  </cols>
  <sheetData>
    <row r="1">
      <c r="A1" s="4" t="s">
        <v>9</v>
      </c>
      <c r="B1" s="6" t="s">
        <v>10</v>
      </c>
      <c r="C1" s="4" t="s">
        <v>11</v>
      </c>
      <c r="D1" s="4" t="s">
        <v>12</v>
      </c>
    </row>
    <row r="2">
      <c r="A2" s="8" t="s">
        <v>13</v>
      </c>
      <c r="B2" s="9">
        <v>9.0</v>
      </c>
      <c r="C2" s="9">
        <v>7.8</v>
      </c>
      <c r="D2" s="9">
        <v>74.9</v>
      </c>
    </row>
    <row r="3">
      <c r="A3" s="8" t="s">
        <v>16</v>
      </c>
      <c r="B3" s="9">
        <v>14.8</v>
      </c>
      <c r="C3" s="9">
        <v>10.4</v>
      </c>
      <c r="D3" s="9">
        <v>70.9</v>
      </c>
    </row>
    <row r="4">
      <c r="A4" s="8" t="s">
        <v>17</v>
      </c>
      <c r="B4" s="9">
        <v>14.9</v>
      </c>
      <c r="C4" s="9">
        <v>10.8</v>
      </c>
      <c r="D4" s="9">
        <v>66.8</v>
      </c>
    </row>
    <row r="5">
      <c r="A5" s="8" t="s">
        <v>22</v>
      </c>
      <c r="B5" s="9">
        <v>16.6</v>
      </c>
      <c r="C5" s="9">
        <v>11.8</v>
      </c>
      <c r="D5" s="9">
        <v>66.9</v>
      </c>
    </row>
    <row r="6">
      <c r="A6" s="8" t="s">
        <v>31</v>
      </c>
      <c r="B6" s="9">
        <v>19.6</v>
      </c>
      <c r="C6" s="9">
        <v>13.6</v>
      </c>
      <c r="D6" s="9">
        <v>60.9</v>
      </c>
    </row>
    <row r="7">
      <c r="A7" s="8" t="s">
        <v>36</v>
      </c>
      <c r="B7" s="9">
        <v>14.6</v>
      </c>
      <c r="C7" s="9">
        <v>12.8</v>
      </c>
      <c r="D7" s="9">
        <v>63.9</v>
      </c>
    </row>
    <row r="8">
      <c r="A8" s="8" t="s">
        <v>40</v>
      </c>
      <c r="B8" s="9">
        <v>18.7</v>
      </c>
      <c r="C8" s="9">
        <v>13.0</v>
      </c>
      <c r="D8" s="9">
        <v>59.0</v>
      </c>
    </row>
    <row r="9">
      <c r="A9" s="8" t="s">
        <v>44</v>
      </c>
      <c r="B9" s="9">
        <v>18.8</v>
      </c>
      <c r="C9" s="9">
        <v>14.5</v>
      </c>
      <c r="D9" s="9">
        <v>54.7</v>
      </c>
    </row>
    <row r="10">
      <c r="A10" s="8" t="s">
        <v>47</v>
      </c>
      <c r="B10" s="9">
        <v>27.9</v>
      </c>
      <c r="C10" s="9">
        <v>21.2</v>
      </c>
      <c r="D10" s="9">
        <v>48.5</v>
      </c>
    </row>
    <row r="11">
      <c r="A11" s="8" t="s">
        <v>49</v>
      </c>
      <c r="B11" s="9">
        <v>18.6</v>
      </c>
      <c r="C11" s="9">
        <v>14.1</v>
      </c>
      <c r="D11" s="9">
        <v>58.9</v>
      </c>
    </row>
    <row r="12">
      <c r="A12" s="8" t="s">
        <v>52</v>
      </c>
      <c r="B12" s="9">
        <v>18.1</v>
      </c>
      <c r="C12" s="9">
        <v>12.0</v>
      </c>
      <c r="D12" s="9">
        <v>66.5</v>
      </c>
    </row>
    <row r="13">
      <c r="A13" s="8" t="s">
        <v>56</v>
      </c>
      <c r="B13" s="9">
        <v>14.0</v>
      </c>
      <c r="C13" s="9">
        <v>9.0</v>
      </c>
      <c r="D13" s="9">
        <v>73.0</v>
      </c>
    </row>
    <row r="14">
      <c r="A14" s="8" t="s">
        <v>58</v>
      </c>
      <c r="B14" s="9">
        <v>17.6</v>
      </c>
      <c r="C14" s="9">
        <v>12.8</v>
      </c>
      <c r="D14" s="9">
        <v>62.5</v>
      </c>
    </row>
    <row r="15">
      <c r="A15" s="8" t="s">
        <v>68</v>
      </c>
      <c r="B15" s="9">
        <v>26.3</v>
      </c>
      <c r="C15" s="9">
        <v>16.2</v>
      </c>
      <c r="D15" s="9">
        <v>55.3</v>
      </c>
    </row>
    <row r="16">
      <c r="A16" s="8" t="s">
        <v>74</v>
      </c>
      <c r="B16" s="9">
        <v>23.0</v>
      </c>
      <c r="C16" s="9">
        <v>16.5</v>
      </c>
      <c r="D16" s="9">
        <v>57.2</v>
      </c>
    </row>
    <row r="17">
      <c r="A17" s="8" t="s">
        <v>79</v>
      </c>
      <c r="B17" s="9">
        <v>21.4</v>
      </c>
      <c r="C17" s="9">
        <v>12.7</v>
      </c>
      <c r="D17" s="9">
        <v>61.6</v>
      </c>
    </row>
    <row r="18">
      <c r="A18" s="8" t="s">
        <v>72</v>
      </c>
      <c r="B18" s="9">
        <v>17.7</v>
      </c>
      <c r="C18" s="9">
        <v>9.1</v>
      </c>
      <c r="D18" s="9">
        <v>71.5</v>
      </c>
    </row>
    <row r="19">
      <c r="A19" s="8" t="s">
        <v>87</v>
      </c>
      <c r="B19" s="9">
        <v>21.6</v>
      </c>
      <c r="C19" s="9">
        <v>13.0</v>
      </c>
      <c r="D19" s="9">
        <v>59.5</v>
      </c>
    </row>
    <row r="20">
      <c r="A20" s="8" t="s">
        <v>92</v>
      </c>
      <c r="B20" s="9">
        <v>21.9</v>
      </c>
      <c r="C20" s="9">
        <v>12.3</v>
      </c>
      <c r="D20" s="9">
        <v>61.3</v>
      </c>
    </row>
    <row r="21">
      <c r="A2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14.0"/>
    <col customWidth="1" min="4" max="4" width="16.13"/>
    <col customWidth="1" min="5" max="5" width="14.75"/>
  </cols>
  <sheetData>
    <row r="1">
      <c r="A1" s="10" t="s">
        <v>8</v>
      </c>
      <c r="B1" s="13" t="s">
        <v>18</v>
      </c>
      <c r="C1" s="15" t="s">
        <v>21</v>
      </c>
      <c r="D1" s="15" t="s">
        <v>24</v>
      </c>
      <c r="E1" s="15" t="s">
        <v>26</v>
      </c>
    </row>
    <row r="2">
      <c r="A2" s="17" t="s">
        <v>32</v>
      </c>
      <c r="B2" s="18">
        <v>4.3</v>
      </c>
      <c r="C2" s="23">
        <f t="shared" ref="C2:C9" si="1">D2/E2*100</f>
        <v>2.134030619</v>
      </c>
      <c r="D2" s="24">
        <v>101.2</v>
      </c>
      <c r="E2" s="25">
        <v>4742.2</v>
      </c>
    </row>
    <row r="3">
      <c r="A3" s="17" t="s">
        <v>66</v>
      </c>
      <c r="B3" s="18">
        <v>4.8</v>
      </c>
      <c r="C3" s="23">
        <f t="shared" si="1"/>
        <v>2.082758966</v>
      </c>
      <c r="D3" s="24">
        <v>83.1</v>
      </c>
      <c r="E3" s="25">
        <v>3989.9</v>
      </c>
    </row>
    <row r="4">
      <c r="A4" s="17" t="s">
        <v>71</v>
      </c>
      <c r="B4" s="27">
        <v>4.2</v>
      </c>
      <c r="C4" s="23">
        <f t="shared" si="1"/>
        <v>2.295144158</v>
      </c>
      <c r="D4" s="29">
        <v>72.6</v>
      </c>
      <c r="E4" s="25">
        <v>3163.2</v>
      </c>
    </row>
    <row r="5">
      <c r="A5" s="17" t="s">
        <v>80</v>
      </c>
      <c r="B5" s="18">
        <v>4.1</v>
      </c>
      <c r="C5" s="23">
        <f t="shared" si="1"/>
        <v>1.945788964</v>
      </c>
      <c r="D5" s="24">
        <v>20.1</v>
      </c>
      <c r="E5" s="25">
        <v>1033.0</v>
      </c>
    </row>
    <row r="6">
      <c r="A6" s="17" t="s">
        <v>84</v>
      </c>
      <c r="B6" s="27">
        <v>4.2</v>
      </c>
      <c r="C6" s="23">
        <f t="shared" si="1"/>
        <v>2.558139535</v>
      </c>
      <c r="D6" s="29">
        <v>45.1</v>
      </c>
      <c r="E6" s="25">
        <v>1763.0</v>
      </c>
    </row>
    <row r="7">
      <c r="A7" s="17" t="s">
        <v>89</v>
      </c>
      <c r="B7" s="27">
        <v>4.8</v>
      </c>
      <c r="C7" s="23">
        <f t="shared" si="1"/>
        <v>1.946721311</v>
      </c>
      <c r="D7" s="29">
        <v>5.7</v>
      </c>
      <c r="E7" s="25">
        <v>292.8</v>
      </c>
    </row>
    <row r="8">
      <c r="A8" s="17" t="s">
        <v>96</v>
      </c>
      <c r="B8" s="18">
        <v>4.8</v>
      </c>
      <c r="C8" s="23">
        <f t="shared" si="1"/>
        <v>4.139715395</v>
      </c>
      <c r="D8" s="24">
        <v>6.4</v>
      </c>
      <c r="E8" s="25">
        <v>154.6</v>
      </c>
    </row>
    <row r="9">
      <c r="A9" s="17" t="s">
        <v>103</v>
      </c>
      <c r="B9" s="18">
        <v>4.2</v>
      </c>
      <c r="C9" s="23">
        <f t="shared" si="1"/>
        <v>2.791178498</v>
      </c>
      <c r="D9" s="24">
        <v>8.1</v>
      </c>
      <c r="E9" s="25">
        <v>290.2</v>
      </c>
    </row>
    <row r="10">
      <c r="A10" s="22"/>
      <c r="B1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13.88"/>
  </cols>
  <sheetData>
    <row r="1">
      <c r="A1" s="15" t="s">
        <v>191</v>
      </c>
      <c r="B1" s="15" t="s">
        <v>193</v>
      </c>
    </row>
    <row r="2">
      <c r="A2" s="26" t="s">
        <v>200</v>
      </c>
      <c r="B2" s="26">
        <v>216.0</v>
      </c>
    </row>
    <row r="3">
      <c r="A3" s="26" t="s">
        <v>201</v>
      </c>
      <c r="B3" s="26">
        <v>209.0</v>
      </c>
    </row>
    <row r="4">
      <c r="A4" s="26" t="s">
        <v>202</v>
      </c>
      <c r="B4" s="26">
        <v>197.0</v>
      </c>
    </row>
    <row r="5">
      <c r="A5" s="26" t="s">
        <v>203</v>
      </c>
      <c r="B5" s="26">
        <v>147.0</v>
      </c>
    </row>
    <row r="6">
      <c r="A6" s="26" t="s">
        <v>206</v>
      </c>
      <c r="B6" s="26">
        <v>147.0</v>
      </c>
    </row>
    <row r="7">
      <c r="A7" s="26" t="s">
        <v>213</v>
      </c>
      <c r="B7" s="26">
        <v>146.0</v>
      </c>
    </row>
    <row r="8">
      <c r="A8" s="26" t="s">
        <v>215</v>
      </c>
      <c r="B8" s="26">
        <v>145.0</v>
      </c>
    </row>
    <row r="9">
      <c r="A9" s="26" t="s">
        <v>216</v>
      </c>
      <c r="B9" s="26">
        <v>130.0</v>
      </c>
    </row>
    <row r="10">
      <c r="A10" s="26" t="s">
        <v>218</v>
      </c>
      <c r="B10" s="26">
        <v>124.0</v>
      </c>
    </row>
    <row r="11">
      <c r="A11" s="26" t="s">
        <v>221</v>
      </c>
      <c r="B11" s="26">
        <v>120.0</v>
      </c>
    </row>
    <row r="12">
      <c r="A12" s="26" t="s">
        <v>222</v>
      </c>
      <c r="B12" s="26">
        <v>120.0</v>
      </c>
    </row>
    <row r="13">
      <c r="A13" s="26" t="s">
        <v>224</v>
      </c>
      <c r="B13" s="26">
        <v>112.0</v>
      </c>
    </row>
    <row r="14">
      <c r="A14" s="26" t="s">
        <v>225</v>
      </c>
      <c r="B14" s="26">
        <v>105.0</v>
      </c>
    </row>
    <row r="15">
      <c r="A15" s="26" t="s">
        <v>227</v>
      </c>
      <c r="B15" s="26">
        <v>87.0</v>
      </c>
    </row>
    <row r="16">
      <c r="A16" s="26" t="s">
        <v>230</v>
      </c>
      <c r="B16" s="26">
        <v>73.0</v>
      </c>
    </row>
    <row r="17">
      <c r="A17" s="26" t="s">
        <v>232</v>
      </c>
      <c r="B17" s="26">
        <v>53.0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6.25"/>
    <col customWidth="1" min="3" max="3" width="44.25"/>
    <col customWidth="1" min="4" max="6" width="13.38"/>
    <col customWidth="1" min="7" max="13" width="4.25"/>
    <col customWidth="1" min="14" max="14" width="35.25"/>
    <col customWidth="1" min="15" max="15" width="15.88"/>
  </cols>
  <sheetData>
    <row r="1">
      <c r="A1" s="15" t="s">
        <v>139</v>
      </c>
      <c r="B1" s="15" t="s">
        <v>142</v>
      </c>
      <c r="C1" s="15" t="s">
        <v>146</v>
      </c>
      <c r="D1" s="34" t="s">
        <v>27</v>
      </c>
      <c r="E1" s="34" t="s">
        <v>260</v>
      </c>
      <c r="F1" s="34" t="s">
        <v>262</v>
      </c>
      <c r="G1" s="34" t="s">
        <v>33</v>
      </c>
      <c r="H1" s="34" t="s">
        <v>35</v>
      </c>
      <c r="I1" s="34" t="s">
        <v>37</v>
      </c>
      <c r="J1" s="34" t="s">
        <v>38</v>
      </c>
      <c r="K1" s="34" t="s">
        <v>41</v>
      </c>
      <c r="L1" s="34" t="s">
        <v>42</v>
      </c>
      <c r="M1" s="34" t="s">
        <v>43</v>
      </c>
      <c r="N1" s="15" t="s">
        <v>9</v>
      </c>
      <c r="O1" s="15" t="s">
        <v>162</v>
      </c>
    </row>
    <row r="2">
      <c r="A2" s="17" t="s">
        <v>271</v>
      </c>
      <c r="B2" s="26" t="s">
        <v>273</v>
      </c>
      <c r="C2" s="17" t="s">
        <v>271</v>
      </c>
      <c r="D2" s="31">
        <v>-33.880741</v>
      </c>
      <c r="E2" s="31">
        <v>151.206117</v>
      </c>
      <c r="F2" s="35">
        <v>0.0</v>
      </c>
      <c r="G2" s="26" t="s">
        <v>276</v>
      </c>
      <c r="H2" s="26" t="s">
        <v>276</v>
      </c>
      <c r="I2" s="26" t="s">
        <v>276</v>
      </c>
      <c r="J2" s="26" t="s">
        <v>276</v>
      </c>
      <c r="K2" s="26" t="s">
        <v>276</v>
      </c>
      <c r="L2" s="26" t="s">
        <v>276</v>
      </c>
      <c r="M2" s="26" t="s">
        <v>276</v>
      </c>
      <c r="N2" s="26" t="s">
        <v>276</v>
      </c>
      <c r="O2" s="35">
        <v>19.2</v>
      </c>
    </row>
    <row r="3">
      <c r="A3" s="17" t="s">
        <v>280</v>
      </c>
      <c r="B3" s="26" t="s">
        <v>273</v>
      </c>
      <c r="C3" s="17" t="s">
        <v>280</v>
      </c>
      <c r="D3" s="31">
        <v>-33.786323</v>
      </c>
      <c r="E3" s="31">
        <v>151.128387</v>
      </c>
      <c r="F3" s="35">
        <v>0.0</v>
      </c>
      <c r="G3" s="26" t="s">
        <v>276</v>
      </c>
      <c r="H3" s="26" t="s">
        <v>276</v>
      </c>
      <c r="I3" s="26" t="s">
        <v>276</v>
      </c>
      <c r="J3" s="26" t="s">
        <v>276</v>
      </c>
      <c r="K3" s="26" t="s">
        <v>276</v>
      </c>
      <c r="L3" s="26" t="s">
        <v>276</v>
      </c>
      <c r="M3" s="26" t="s">
        <v>276</v>
      </c>
      <c r="N3" s="26" t="s">
        <v>276</v>
      </c>
      <c r="O3" s="35">
        <v>0.0</v>
      </c>
    </row>
    <row r="4">
      <c r="A4" s="17" t="s">
        <v>286</v>
      </c>
      <c r="B4" s="26" t="s">
        <v>273</v>
      </c>
      <c r="C4" s="17" t="s">
        <v>286</v>
      </c>
      <c r="D4" s="31">
        <v>-33.80237</v>
      </c>
      <c r="E4" s="31">
        <v>150.989134</v>
      </c>
      <c r="F4" s="35">
        <v>0.0</v>
      </c>
      <c r="G4" s="26" t="s">
        <v>276</v>
      </c>
      <c r="H4" s="26" t="s">
        <v>276</v>
      </c>
      <c r="I4" s="26" t="s">
        <v>276</v>
      </c>
      <c r="J4" s="26" t="s">
        <v>276</v>
      </c>
      <c r="K4" s="26" t="s">
        <v>276</v>
      </c>
      <c r="L4" s="26" t="s">
        <v>276</v>
      </c>
      <c r="M4" s="26" t="s">
        <v>276</v>
      </c>
      <c r="N4" s="26" t="s">
        <v>276</v>
      </c>
      <c r="O4" s="35">
        <v>19.7</v>
      </c>
    </row>
    <row r="5">
      <c r="A5" s="17" t="s">
        <v>292</v>
      </c>
      <c r="B5" s="26" t="s">
        <v>273</v>
      </c>
      <c r="C5" s="17" t="s">
        <v>292</v>
      </c>
      <c r="D5" s="31">
        <v>-33.92033</v>
      </c>
      <c r="E5" s="31">
        <v>151.238639</v>
      </c>
      <c r="F5" s="35">
        <v>0.0</v>
      </c>
      <c r="G5" s="26" t="s">
        <v>276</v>
      </c>
      <c r="H5" s="26" t="s">
        <v>276</v>
      </c>
      <c r="I5" s="26" t="s">
        <v>276</v>
      </c>
      <c r="J5" s="26" t="s">
        <v>276</v>
      </c>
      <c r="K5" s="26" t="s">
        <v>276</v>
      </c>
      <c r="L5" s="26" t="s">
        <v>276</v>
      </c>
      <c r="M5" s="26" t="s">
        <v>276</v>
      </c>
      <c r="N5" s="26" t="s">
        <v>276</v>
      </c>
      <c r="O5" s="35">
        <v>24.5</v>
      </c>
    </row>
    <row r="6">
      <c r="A6" s="17" t="s">
        <v>296</v>
      </c>
      <c r="B6" s="26" t="s">
        <v>273</v>
      </c>
      <c r="C6" s="17" t="s">
        <v>296</v>
      </c>
      <c r="D6" s="31">
        <v>-33.920613</v>
      </c>
      <c r="E6" s="31">
        <v>150.929239</v>
      </c>
      <c r="F6" s="35">
        <v>0.0</v>
      </c>
      <c r="G6" s="26" t="s">
        <v>276</v>
      </c>
      <c r="H6" s="26" t="s">
        <v>276</v>
      </c>
      <c r="I6" s="26" t="s">
        <v>276</v>
      </c>
      <c r="J6" s="26" t="s">
        <v>276</v>
      </c>
      <c r="K6" s="26" t="s">
        <v>276</v>
      </c>
      <c r="L6" s="26" t="s">
        <v>276</v>
      </c>
      <c r="M6" s="26" t="s">
        <v>276</v>
      </c>
      <c r="N6" s="26" t="s">
        <v>276</v>
      </c>
      <c r="O6" s="35">
        <v>35.0</v>
      </c>
    </row>
    <row r="7">
      <c r="A7" s="17" t="s">
        <v>298</v>
      </c>
      <c r="B7" s="26" t="s">
        <v>273</v>
      </c>
      <c r="C7" s="17" t="s">
        <v>298</v>
      </c>
      <c r="D7" s="31">
        <v>-33.821282</v>
      </c>
      <c r="E7" s="31">
        <v>151.192496</v>
      </c>
      <c r="F7" s="35">
        <v>0.0</v>
      </c>
      <c r="G7" s="26" t="s">
        <v>276</v>
      </c>
      <c r="H7" s="26" t="s">
        <v>276</v>
      </c>
      <c r="I7" s="26" t="s">
        <v>276</v>
      </c>
      <c r="J7" s="26" t="s">
        <v>276</v>
      </c>
      <c r="K7" s="26" t="s">
        <v>276</v>
      </c>
      <c r="L7" s="26" t="s">
        <v>276</v>
      </c>
      <c r="M7" s="26" t="s">
        <v>276</v>
      </c>
      <c r="N7" s="26" t="s">
        <v>276</v>
      </c>
      <c r="O7" s="35">
        <v>11.3</v>
      </c>
    </row>
    <row r="8">
      <c r="A8" s="17" t="s">
        <v>306</v>
      </c>
      <c r="B8" s="26" t="s">
        <v>273</v>
      </c>
      <c r="C8" s="17" t="s">
        <v>306</v>
      </c>
      <c r="D8" s="31">
        <v>-32.928049</v>
      </c>
      <c r="E8" s="31">
        <v>151.695046</v>
      </c>
      <c r="F8" s="35">
        <v>0.0</v>
      </c>
      <c r="G8" s="26" t="s">
        <v>276</v>
      </c>
      <c r="H8" s="26" t="s">
        <v>276</v>
      </c>
      <c r="I8" s="26" t="s">
        <v>276</v>
      </c>
      <c r="J8" s="26" t="s">
        <v>276</v>
      </c>
      <c r="K8" s="26" t="s">
        <v>276</v>
      </c>
      <c r="L8" s="26" t="s">
        <v>276</v>
      </c>
      <c r="M8" s="26" t="s">
        <v>276</v>
      </c>
      <c r="N8" s="26" t="s">
        <v>276</v>
      </c>
      <c r="O8" s="35">
        <v>146.0</v>
      </c>
    </row>
    <row r="9">
      <c r="A9" s="17" t="s">
        <v>312</v>
      </c>
      <c r="B9" s="26" t="s">
        <v>273</v>
      </c>
      <c r="C9" s="17" t="s">
        <v>312</v>
      </c>
      <c r="D9" s="31">
        <v>-33.933125</v>
      </c>
      <c r="E9" s="31">
        <v>151.019776</v>
      </c>
      <c r="F9" s="35">
        <v>0.0</v>
      </c>
      <c r="G9" s="26" t="s">
        <v>276</v>
      </c>
      <c r="H9" s="26" t="s">
        <v>276</v>
      </c>
      <c r="I9" s="26" t="s">
        <v>276</v>
      </c>
      <c r="J9" s="26" t="s">
        <v>276</v>
      </c>
      <c r="K9" s="26" t="s">
        <v>276</v>
      </c>
      <c r="L9" s="26" t="s">
        <v>276</v>
      </c>
      <c r="M9" s="26" t="s">
        <v>276</v>
      </c>
      <c r="N9" s="26" t="s">
        <v>276</v>
      </c>
      <c r="O9" s="35">
        <v>20.5</v>
      </c>
    </row>
    <row r="10">
      <c r="A10" s="17" t="s">
        <v>316</v>
      </c>
      <c r="B10" s="26" t="s">
        <v>273</v>
      </c>
      <c r="C10" s="17" t="s">
        <v>316</v>
      </c>
      <c r="D10" s="31">
        <v>-34.078634</v>
      </c>
      <c r="E10" s="31">
        <v>150.806579</v>
      </c>
      <c r="F10" s="35">
        <v>0.0</v>
      </c>
      <c r="G10" s="26" t="s">
        <v>276</v>
      </c>
      <c r="H10" s="26" t="s">
        <v>276</v>
      </c>
      <c r="I10" s="26" t="s">
        <v>276</v>
      </c>
      <c r="J10" s="26" t="s">
        <v>276</v>
      </c>
      <c r="K10" s="26" t="s">
        <v>276</v>
      </c>
      <c r="L10" s="26" t="s">
        <v>276</v>
      </c>
      <c r="M10" s="26" t="s">
        <v>276</v>
      </c>
      <c r="N10" s="26" t="s">
        <v>276</v>
      </c>
      <c r="O10" s="35">
        <v>75.4</v>
      </c>
    </row>
    <row r="11">
      <c r="A11" s="17" t="s">
        <v>320</v>
      </c>
      <c r="B11" s="26" t="s">
        <v>273</v>
      </c>
      <c r="C11" s="17" t="s">
        <v>320</v>
      </c>
      <c r="D11" s="38">
        <v>-33.817898</v>
      </c>
      <c r="E11" s="39">
        <v>151.007602</v>
      </c>
      <c r="F11" s="35">
        <v>0.0</v>
      </c>
      <c r="G11" s="26" t="s">
        <v>276</v>
      </c>
      <c r="H11" s="26" t="s">
        <v>276</v>
      </c>
      <c r="I11" s="26" t="s">
        <v>276</v>
      </c>
      <c r="J11" s="26" t="s">
        <v>276</v>
      </c>
      <c r="K11" s="26" t="s">
        <v>276</v>
      </c>
      <c r="L11" s="26" t="s">
        <v>276</v>
      </c>
      <c r="M11" s="26" t="s">
        <v>276</v>
      </c>
      <c r="N11" s="26" t="s">
        <v>276</v>
      </c>
      <c r="O11" s="35">
        <v>22.1</v>
      </c>
    </row>
    <row r="12">
      <c r="A12" s="17" t="s">
        <v>326</v>
      </c>
      <c r="B12" s="26" t="s">
        <v>273</v>
      </c>
      <c r="C12" s="17" t="s">
        <v>326</v>
      </c>
      <c r="D12" s="31">
        <v>-33.88607</v>
      </c>
      <c r="E12" s="31">
        <v>150.700038</v>
      </c>
      <c r="F12" s="35">
        <v>0.0</v>
      </c>
      <c r="G12" s="26" t="s">
        <v>276</v>
      </c>
      <c r="H12" s="26" t="s">
        <v>276</v>
      </c>
      <c r="I12" s="26" t="s">
        <v>276</v>
      </c>
      <c r="J12" s="26" t="s">
        <v>276</v>
      </c>
      <c r="K12" s="26" t="s">
        <v>276</v>
      </c>
      <c r="L12" s="26" t="s">
        <v>276</v>
      </c>
      <c r="M12" s="26" t="s">
        <v>276</v>
      </c>
      <c r="N12" s="26" t="s">
        <v>276</v>
      </c>
      <c r="O12" s="35">
        <v>57.1</v>
      </c>
    </row>
    <row r="13">
      <c r="A13" s="17" t="s">
        <v>331</v>
      </c>
      <c r="B13" s="26" t="s">
        <v>273</v>
      </c>
      <c r="C13" s="17" t="s">
        <v>331</v>
      </c>
      <c r="D13" s="31">
        <v>-33.920951</v>
      </c>
      <c r="E13" s="31">
        <v>150.933958</v>
      </c>
      <c r="F13" s="35">
        <v>0.0</v>
      </c>
      <c r="G13" s="26" t="s">
        <v>276</v>
      </c>
      <c r="H13" s="26" t="s">
        <v>276</v>
      </c>
      <c r="I13" s="26" t="s">
        <v>276</v>
      </c>
      <c r="J13" s="26" t="s">
        <v>276</v>
      </c>
      <c r="K13" s="26" t="s">
        <v>276</v>
      </c>
      <c r="L13" s="26" t="s">
        <v>276</v>
      </c>
      <c r="M13" s="26" t="s">
        <v>276</v>
      </c>
      <c r="N13" s="26" t="s">
        <v>276</v>
      </c>
      <c r="O13" s="35">
        <v>29.8</v>
      </c>
    </row>
    <row r="14">
      <c r="A14" s="17" t="s">
        <v>59</v>
      </c>
      <c r="B14" s="26" t="s">
        <v>342</v>
      </c>
      <c r="C14" s="17" t="s">
        <v>292</v>
      </c>
      <c r="D14" s="17">
        <v>-33.893246</v>
      </c>
      <c r="E14" s="17">
        <v>151.202189</v>
      </c>
      <c r="F14" s="35">
        <v>6.1</v>
      </c>
      <c r="G14" s="26">
        <v>0.0</v>
      </c>
      <c r="H14" s="26">
        <v>1.0</v>
      </c>
      <c r="I14" s="26">
        <v>0.0</v>
      </c>
      <c r="J14" s="26">
        <v>1.0</v>
      </c>
      <c r="K14" s="26">
        <v>0.0</v>
      </c>
      <c r="L14" s="26">
        <v>0.0</v>
      </c>
      <c r="M14" s="26">
        <v>1.0</v>
      </c>
      <c r="N14" s="17" t="s">
        <v>72</v>
      </c>
      <c r="O14" s="40">
        <v>15.65</v>
      </c>
    </row>
    <row r="15">
      <c r="A15" s="17" t="s">
        <v>77</v>
      </c>
      <c r="B15" s="26" t="s">
        <v>342</v>
      </c>
      <c r="C15" s="17" t="s">
        <v>320</v>
      </c>
      <c r="D15" s="17">
        <v>-32.934076</v>
      </c>
      <c r="E15" s="17">
        <v>151.724726</v>
      </c>
      <c r="F15" s="35">
        <v>156.0</v>
      </c>
      <c r="G15" s="26">
        <v>0.0</v>
      </c>
      <c r="H15" s="26">
        <v>0.0</v>
      </c>
      <c r="I15" s="26">
        <v>0.0</v>
      </c>
      <c r="J15" s="26">
        <v>0.0</v>
      </c>
      <c r="K15" s="26">
        <v>0.0</v>
      </c>
      <c r="L15" s="26">
        <v>0.0</v>
      </c>
      <c r="M15" s="26">
        <v>1.0</v>
      </c>
      <c r="N15" s="17" t="s">
        <v>87</v>
      </c>
      <c r="O15" s="40">
        <v>109.32</v>
      </c>
    </row>
    <row r="16">
      <c r="A16" s="17" t="s">
        <v>90</v>
      </c>
      <c r="B16" s="26" t="s">
        <v>342</v>
      </c>
      <c r="C16" s="41" t="s">
        <v>320</v>
      </c>
      <c r="D16" s="17">
        <v>-36.043175</v>
      </c>
      <c r="E16" s="17">
        <v>146.944512</v>
      </c>
      <c r="F16" s="35">
        <v>546.0</v>
      </c>
      <c r="G16" s="26">
        <v>0.0</v>
      </c>
      <c r="H16" s="26">
        <v>0.0</v>
      </c>
      <c r="I16" s="26">
        <v>0.0</v>
      </c>
      <c r="J16" s="26">
        <v>0.0</v>
      </c>
      <c r="K16" s="26">
        <v>0.0</v>
      </c>
      <c r="L16" s="26">
        <v>0.0</v>
      </c>
      <c r="M16" s="26">
        <v>1.0</v>
      </c>
      <c r="N16" s="17" t="s">
        <v>47</v>
      </c>
      <c r="O16" s="40">
        <v>456.14</v>
      </c>
    </row>
    <row r="17">
      <c r="A17" s="17" t="s">
        <v>104</v>
      </c>
      <c r="B17" s="26" t="s">
        <v>342</v>
      </c>
      <c r="C17" s="17" t="s">
        <v>320</v>
      </c>
      <c r="D17" s="17">
        <v>-32.933812</v>
      </c>
      <c r="E17" s="17">
        <v>151.713179</v>
      </c>
      <c r="F17" s="35">
        <v>155.0</v>
      </c>
      <c r="G17" s="26">
        <v>0.0</v>
      </c>
      <c r="H17" s="26">
        <v>1.0</v>
      </c>
      <c r="I17" s="26">
        <v>0.0</v>
      </c>
      <c r="J17" s="26">
        <v>0.0</v>
      </c>
      <c r="K17" s="26">
        <v>0.0</v>
      </c>
      <c r="L17" s="26">
        <v>0.0</v>
      </c>
      <c r="M17" s="26">
        <v>1.0</v>
      </c>
      <c r="N17" s="17" t="s">
        <v>87</v>
      </c>
      <c r="O17" s="40">
        <v>108.79</v>
      </c>
    </row>
    <row r="18">
      <c r="A18" s="17" t="s">
        <v>110</v>
      </c>
      <c r="B18" s="26" t="s">
        <v>342</v>
      </c>
      <c r="C18" s="17" t="s">
        <v>320</v>
      </c>
      <c r="D18" s="41">
        <v>-33.898612</v>
      </c>
      <c r="E18" s="39">
        <v>151.174034</v>
      </c>
      <c r="F18" s="35">
        <v>20.0</v>
      </c>
      <c r="G18" s="26">
        <v>1.0</v>
      </c>
      <c r="H18" s="26">
        <v>0.0</v>
      </c>
      <c r="I18" s="26">
        <v>0.0</v>
      </c>
      <c r="J18" s="26">
        <v>0.0</v>
      </c>
      <c r="K18" s="26">
        <v>1.0</v>
      </c>
      <c r="L18" s="26">
        <v>0.0</v>
      </c>
      <c r="M18" s="26">
        <v>1.0</v>
      </c>
      <c r="N18" s="17" t="s">
        <v>40</v>
      </c>
      <c r="O18" s="40">
        <v>15.0</v>
      </c>
    </row>
    <row r="19">
      <c r="A19" s="17" t="s">
        <v>120</v>
      </c>
      <c r="B19" s="26" t="s">
        <v>342</v>
      </c>
      <c r="C19" s="17" t="s">
        <v>280</v>
      </c>
      <c r="D19" s="17">
        <v>-33.8160834</v>
      </c>
      <c r="E19" s="17">
        <v>151.1748297</v>
      </c>
      <c r="F19" s="35">
        <v>9.1</v>
      </c>
      <c r="G19" s="26">
        <v>0.0</v>
      </c>
      <c r="H19" s="26">
        <v>0.0</v>
      </c>
      <c r="I19" s="26">
        <v>0.0</v>
      </c>
      <c r="J19" s="26">
        <v>1.0</v>
      </c>
      <c r="K19" s="26">
        <v>0.0</v>
      </c>
      <c r="L19" s="26">
        <v>0.0</v>
      </c>
      <c r="M19" s="26">
        <v>1.0</v>
      </c>
      <c r="N19" s="17" t="s">
        <v>58</v>
      </c>
      <c r="O19" s="40">
        <v>7.43</v>
      </c>
    </row>
    <row r="20">
      <c r="A20" s="17" t="s">
        <v>128</v>
      </c>
      <c r="B20" s="26" t="s">
        <v>342</v>
      </c>
      <c r="C20" s="17" t="s">
        <v>326</v>
      </c>
      <c r="D20" s="17">
        <v>-33.304989</v>
      </c>
      <c r="E20" s="17">
        <v>149.099551</v>
      </c>
      <c r="F20" s="35">
        <v>223.0</v>
      </c>
      <c r="G20" s="26">
        <v>0.0</v>
      </c>
      <c r="H20" s="26">
        <v>0.0</v>
      </c>
      <c r="I20" s="26">
        <v>0.0</v>
      </c>
      <c r="J20" s="26">
        <v>1.0</v>
      </c>
      <c r="K20" s="26">
        <v>0.0</v>
      </c>
      <c r="L20" s="26">
        <v>0.0</v>
      </c>
      <c r="M20" s="26">
        <v>1.0</v>
      </c>
      <c r="N20" s="17" t="s">
        <v>17</v>
      </c>
      <c r="O20" s="40">
        <v>193.71</v>
      </c>
    </row>
    <row r="21">
      <c r="A21" s="17" t="s">
        <v>136</v>
      </c>
      <c r="B21" s="26" t="s">
        <v>342</v>
      </c>
      <c r="C21" s="17" t="s">
        <v>320</v>
      </c>
      <c r="D21" s="17">
        <v>-30.519418</v>
      </c>
      <c r="E21" s="17">
        <v>151.646604</v>
      </c>
      <c r="F21" s="35">
        <v>469.0</v>
      </c>
      <c r="G21" s="26">
        <v>0.0</v>
      </c>
      <c r="H21" s="26">
        <v>0.0</v>
      </c>
      <c r="I21" s="26">
        <v>0.0</v>
      </c>
      <c r="J21" s="26">
        <v>1.0</v>
      </c>
      <c r="K21" s="26">
        <v>1.0</v>
      </c>
      <c r="L21" s="26">
        <v>0.0</v>
      </c>
      <c r="M21" s="26">
        <v>1.0</v>
      </c>
      <c r="N21" s="17" t="s">
        <v>47</v>
      </c>
      <c r="O21" s="40">
        <v>365.34</v>
      </c>
    </row>
    <row r="22">
      <c r="A22" s="17" t="s">
        <v>141</v>
      </c>
      <c r="B22" s="26" t="s">
        <v>342</v>
      </c>
      <c r="C22" s="17" t="s">
        <v>320</v>
      </c>
      <c r="D22" s="17">
        <v>-33.516969</v>
      </c>
      <c r="E22" s="17">
        <v>151.331772</v>
      </c>
      <c r="F22" s="35">
        <v>80.5</v>
      </c>
      <c r="G22" s="26">
        <v>1.0</v>
      </c>
      <c r="H22" s="26">
        <v>1.0</v>
      </c>
      <c r="I22" s="26">
        <v>0.0</v>
      </c>
      <c r="J22" s="26">
        <v>0.0</v>
      </c>
      <c r="K22" s="26">
        <v>1.0</v>
      </c>
      <c r="L22" s="26">
        <v>0.0</v>
      </c>
      <c r="M22" s="26">
        <v>0.0</v>
      </c>
      <c r="N22" s="17" t="s">
        <v>87</v>
      </c>
      <c r="O22" s="40">
        <v>35.03</v>
      </c>
    </row>
    <row r="23">
      <c r="A23" s="17" t="s">
        <v>149</v>
      </c>
      <c r="B23" s="26" t="s">
        <v>342</v>
      </c>
      <c r="C23" s="17" t="s">
        <v>320</v>
      </c>
      <c r="D23" s="17">
        <v>-33.885229</v>
      </c>
      <c r="E23" s="17">
        <v>151.156383</v>
      </c>
      <c r="F23" s="35">
        <v>17.9</v>
      </c>
      <c r="G23" s="26">
        <v>0.0</v>
      </c>
      <c r="H23" s="26">
        <v>1.0</v>
      </c>
      <c r="I23" s="26">
        <v>0.0</v>
      </c>
      <c r="J23" s="26">
        <v>0.0</v>
      </c>
      <c r="K23" s="26">
        <v>0.0</v>
      </c>
      <c r="L23" s="26">
        <v>0.0</v>
      </c>
      <c r="M23" s="26">
        <v>1.0</v>
      </c>
      <c r="N23" s="17" t="s">
        <v>87</v>
      </c>
      <c r="O23" s="40">
        <v>13.03</v>
      </c>
    </row>
    <row r="24">
      <c r="A24" s="17" t="s">
        <v>155</v>
      </c>
      <c r="B24" s="26" t="s">
        <v>342</v>
      </c>
      <c r="C24" s="41" t="s">
        <v>427</v>
      </c>
      <c r="D24" s="17">
        <v>-36.4085597</v>
      </c>
      <c r="E24" s="17">
        <v>148.4061193</v>
      </c>
      <c r="F24" s="35">
        <v>462.0</v>
      </c>
      <c r="G24" s="26">
        <v>1.0</v>
      </c>
      <c r="H24" s="26">
        <v>0.0</v>
      </c>
      <c r="I24" s="26">
        <v>0.0</v>
      </c>
      <c r="J24" s="26">
        <v>0.0</v>
      </c>
      <c r="K24" s="26">
        <v>0.0</v>
      </c>
      <c r="L24" s="26">
        <v>0.0</v>
      </c>
      <c r="M24" s="26">
        <v>1.0</v>
      </c>
      <c r="N24" s="17" t="s">
        <v>87</v>
      </c>
      <c r="O24" s="40">
        <v>382.67</v>
      </c>
    </row>
    <row r="25">
      <c r="A25" s="17" t="s">
        <v>164</v>
      </c>
      <c r="B25" s="26" t="s">
        <v>342</v>
      </c>
      <c r="C25" s="17" t="s">
        <v>316</v>
      </c>
      <c r="D25" s="17">
        <v>-32.51193</v>
      </c>
      <c r="E25" s="17">
        <v>149.66748</v>
      </c>
      <c r="F25" s="35">
        <v>266.0</v>
      </c>
      <c r="G25" s="26">
        <v>0.0</v>
      </c>
      <c r="H25" s="26">
        <v>0.0</v>
      </c>
      <c r="I25" s="26">
        <v>0.0</v>
      </c>
      <c r="J25" s="26">
        <v>0.0</v>
      </c>
      <c r="K25" s="26">
        <v>1.0</v>
      </c>
      <c r="L25" s="26">
        <v>1.0</v>
      </c>
      <c r="M25" s="26">
        <v>0.0</v>
      </c>
      <c r="N25" s="17" t="s">
        <v>79</v>
      </c>
      <c r="O25" s="40">
        <v>194.39</v>
      </c>
    </row>
    <row r="26">
      <c r="A26" s="17" t="s">
        <v>172</v>
      </c>
      <c r="B26" s="26" t="s">
        <v>342</v>
      </c>
      <c r="C26" s="17" t="s">
        <v>271</v>
      </c>
      <c r="D26" s="17">
        <v>-33.744884</v>
      </c>
      <c r="E26" s="17">
        <v>151.232731</v>
      </c>
      <c r="F26" s="35">
        <v>20.2</v>
      </c>
      <c r="G26" s="26">
        <v>0.0</v>
      </c>
      <c r="H26" s="26">
        <v>0.0</v>
      </c>
      <c r="I26" s="26">
        <v>0.0</v>
      </c>
      <c r="J26" s="26">
        <v>0.0</v>
      </c>
      <c r="K26" s="26">
        <v>1.0</v>
      </c>
      <c r="L26" s="26">
        <v>0.0</v>
      </c>
      <c r="M26" s="26">
        <v>0.0</v>
      </c>
      <c r="N26" s="17" t="s">
        <v>58</v>
      </c>
      <c r="O26" s="40">
        <v>11.56</v>
      </c>
    </row>
    <row r="27">
      <c r="A27" s="17" t="s">
        <v>181</v>
      </c>
      <c r="B27" s="26" t="s">
        <v>342</v>
      </c>
      <c r="C27" s="26" t="s">
        <v>462</v>
      </c>
      <c r="D27" s="17">
        <v>-28.834761</v>
      </c>
      <c r="E27" s="17">
        <v>153.563793</v>
      </c>
      <c r="F27" s="35" t="s">
        <v>276</v>
      </c>
      <c r="G27" s="26">
        <v>0.0</v>
      </c>
      <c r="H27" s="26">
        <v>0.0</v>
      </c>
      <c r="I27" s="26">
        <v>1.0</v>
      </c>
      <c r="J27" s="26">
        <v>0.0</v>
      </c>
      <c r="K27" s="26">
        <v>0.0</v>
      </c>
      <c r="L27" s="26">
        <v>0.0</v>
      </c>
      <c r="M27" s="26">
        <v>1.0</v>
      </c>
      <c r="N27" s="17" t="s">
        <v>40</v>
      </c>
      <c r="O27" s="40">
        <v>596.47</v>
      </c>
    </row>
    <row r="28">
      <c r="A28" s="17" t="s">
        <v>188</v>
      </c>
      <c r="B28" s="26" t="s">
        <v>342</v>
      </c>
      <c r="C28" s="26" t="s">
        <v>462</v>
      </c>
      <c r="D28" s="17">
        <v>-33.985396</v>
      </c>
      <c r="E28" s="17">
        <v>151.048461</v>
      </c>
      <c r="F28" s="35" t="s">
        <v>276</v>
      </c>
      <c r="G28" s="26">
        <v>0.0</v>
      </c>
      <c r="H28" s="26">
        <v>0.0</v>
      </c>
      <c r="I28" s="26">
        <v>0.0</v>
      </c>
      <c r="J28" s="26">
        <v>0.0</v>
      </c>
      <c r="K28" s="26">
        <v>1.0</v>
      </c>
      <c r="L28" s="26">
        <v>0.0</v>
      </c>
      <c r="M28" s="26">
        <v>1.0</v>
      </c>
      <c r="N28" s="17" t="s">
        <v>87</v>
      </c>
      <c r="O28" s="40">
        <v>24.26</v>
      </c>
    </row>
    <row r="29">
      <c r="A29" s="17" t="s">
        <v>195</v>
      </c>
      <c r="B29" s="26" t="s">
        <v>342</v>
      </c>
      <c r="C29" s="17" t="s">
        <v>271</v>
      </c>
      <c r="D29" s="17">
        <v>-33.867988</v>
      </c>
      <c r="E29" s="17">
        <v>151.211087</v>
      </c>
      <c r="F29" s="35">
        <v>2.0</v>
      </c>
      <c r="G29" s="26">
        <v>0.0</v>
      </c>
      <c r="H29" s="26">
        <v>0.0</v>
      </c>
      <c r="I29" s="26">
        <v>0.0</v>
      </c>
      <c r="J29" s="26">
        <v>0.0</v>
      </c>
      <c r="K29" s="26">
        <v>1.0</v>
      </c>
      <c r="L29" s="26">
        <v>1.0</v>
      </c>
      <c r="M29" s="26">
        <v>0.0</v>
      </c>
      <c r="N29" s="17" t="s">
        <v>58</v>
      </c>
      <c r="O29" s="40">
        <v>13.87</v>
      </c>
    </row>
    <row r="30">
      <c r="A30" s="17" t="s">
        <v>205</v>
      </c>
      <c r="B30" s="26" t="s">
        <v>342</v>
      </c>
      <c r="C30" s="17" t="s">
        <v>326</v>
      </c>
      <c r="D30" s="17">
        <v>-35.713823</v>
      </c>
      <c r="E30" s="17">
        <v>150.187672</v>
      </c>
      <c r="F30" s="35">
        <v>283.0</v>
      </c>
      <c r="G30" s="26">
        <v>0.0</v>
      </c>
      <c r="H30" s="26">
        <v>0.0</v>
      </c>
      <c r="I30" s="26">
        <v>1.0</v>
      </c>
      <c r="J30" s="26">
        <v>0.0</v>
      </c>
      <c r="K30" s="26">
        <v>0.0</v>
      </c>
      <c r="L30" s="26">
        <v>0.0</v>
      </c>
      <c r="M30" s="26">
        <v>1.0</v>
      </c>
      <c r="N30" s="17" t="s">
        <v>47</v>
      </c>
      <c r="O30" s="40">
        <v>231.68</v>
      </c>
    </row>
    <row r="31">
      <c r="A31" s="17" t="s">
        <v>217</v>
      </c>
      <c r="B31" s="26" t="s">
        <v>342</v>
      </c>
      <c r="C31" s="17" t="s">
        <v>320</v>
      </c>
      <c r="D31" s="17">
        <v>-33.41643</v>
      </c>
      <c r="E31" s="17">
        <v>149.58224</v>
      </c>
      <c r="F31" s="35">
        <v>186.0</v>
      </c>
      <c r="G31" s="26">
        <v>0.0</v>
      </c>
      <c r="H31" s="26">
        <v>0.0</v>
      </c>
      <c r="I31" s="26">
        <v>0.0</v>
      </c>
      <c r="J31" s="26">
        <v>0.0</v>
      </c>
      <c r="K31" s="26">
        <v>1.0</v>
      </c>
      <c r="L31" s="26">
        <v>0.0</v>
      </c>
      <c r="M31" s="26">
        <v>1.0</v>
      </c>
      <c r="N31" s="17" t="s">
        <v>40</v>
      </c>
      <c r="O31" s="40">
        <v>147.21</v>
      </c>
    </row>
    <row r="32">
      <c r="A32" s="45" t="s">
        <v>231</v>
      </c>
      <c r="B32" s="26" t="s">
        <v>342</v>
      </c>
      <c r="C32" s="17" t="s">
        <v>296</v>
      </c>
      <c r="D32" s="45">
        <v>-33.874832</v>
      </c>
      <c r="E32" s="45">
        <v>151.217106</v>
      </c>
      <c r="F32" s="35">
        <v>37.7</v>
      </c>
      <c r="G32" s="26">
        <v>0.0</v>
      </c>
      <c r="H32" s="26">
        <v>0.0</v>
      </c>
      <c r="I32" s="26">
        <v>0.0</v>
      </c>
      <c r="J32" s="26">
        <v>0.0</v>
      </c>
      <c r="K32" s="26">
        <v>1.0</v>
      </c>
      <c r="L32" s="26">
        <v>0.0</v>
      </c>
      <c r="M32" s="26">
        <v>1.0</v>
      </c>
      <c r="N32" s="45" t="s">
        <v>72</v>
      </c>
      <c r="O32" s="40">
        <v>14.81</v>
      </c>
    </row>
    <row r="33">
      <c r="A33" s="17" t="s">
        <v>239</v>
      </c>
      <c r="B33" s="26" t="s">
        <v>342</v>
      </c>
      <c r="C33" s="26" t="s">
        <v>462</v>
      </c>
      <c r="D33" s="17">
        <v>-36.671311</v>
      </c>
      <c r="E33" s="17">
        <v>149.836604</v>
      </c>
      <c r="F33" s="35" t="s">
        <v>276</v>
      </c>
      <c r="G33" s="26">
        <v>0.0</v>
      </c>
      <c r="H33" s="26">
        <v>0.0</v>
      </c>
      <c r="I33" s="26">
        <v>0.0</v>
      </c>
      <c r="J33" s="26">
        <v>0.0</v>
      </c>
      <c r="K33" s="26">
        <v>0.0</v>
      </c>
      <c r="L33" s="26">
        <v>0.0</v>
      </c>
      <c r="M33" s="26">
        <v>1.0</v>
      </c>
      <c r="N33" s="17" t="s">
        <v>72</v>
      </c>
      <c r="O33" s="40">
        <v>342.39</v>
      </c>
    </row>
    <row r="34">
      <c r="A34" s="17" t="s">
        <v>247</v>
      </c>
      <c r="B34" s="26" t="s">
        <v>342</v>
      </c>
      <c r="C34" s="26" t="s">
        <v>462</v>
      </c>
      <c r="D34" s="17">
        <v>-30.440836</v>
      </c>
      <c r="E34" s="17">
        <v>152.894853</v>
      </c>
      <c r="F34" s="35" t="s">
        <v>276</v>
      </c>
      <c r="G34" s="26">
        <v>0.0</v>
      </c>
      <c r="H34" s="26">
        <v>0.0</v>
      </c>
      <c r="I34" s="26">
        <v>0.0</v>
      </c>
      <c r="J34" s="26">
        <v>0.0</v>
      </c>
      <c r="K34" s="26">
        <v>0.0</v>
      </c>
      <c r="L34" s="26">
        <v>0.0</v>
      </c>
      <c r="M34" s="26">
        <v>1.0</v>
      </c>
      <c r="N34" s="17" t="s">
        <v>56</v>
      </c>
      <c r="O34" s="40">
        <v>406.83</v>
      </c>
    </row>
    <row r="35">
      <c r="A35" s="17" t="s">
        <v>254</v>
      </c>
      <c r="B35" s="26" t="s">
        <v>342</v>
      </c>
      <c r="C35" s="26" t="s">
        <v>462</v>
      </c>
      <c r="D35" s="17">
        <v>-31.136257</v>
      </c>
      <c r="E35" s="17">
        <v>152.761045</v>
      </c>
      <c r="F35" s="35" t="s">
        <v>276</v>
      </c>
      <c r="G35" s="26">
        <v>0.0</v>
      </c>
      <c r="H35" s="26">
        <v>0.0</v>
      </c>
      <c r="I35" s="26">
        <v>0.0</v>
      </c>
      <c r="J35" s="26">
        <v>1.0</v>
      </c>
      <c r="K35" s="26">
        <v>0.0</v>
      </c>
      <c r="L35" s="26">
        <v>0.0</v>
      </c>
      <c r="M35" s="26">
        <v>1.0</v>
      </c>
      <c r="N35" s="17" t="s">
        <v>56</v>
      </c>
      <c r="O35" s="40">
        <v>331.55</v>
      </c>
    </row>
    <row r="36">
      <c r="A36" s="17" t="s">
        <v>265</v>
      </c>
      <c r="B36" s="26" t="s">
        <v>342</v>
      </c>
      <c r="C36" s="17" t="s">
        <v>316</v>
      </c>
      <c r="D36" s="17">
        <v>-36.427829</v>
      </c>
      <c r="E36" s="17">
        <v>150.078126</v>
      </c>
      <c r="F36" s="35">
        <v>348.0</v>
      </c>
      <c r="G36" s="26">
        <v>0.0</v>
      </c>
      <c r="H36" s="26">
        <v>0.0</v>
      </c>
      <c r="I36" s="26">
        <v>0.0</v>
      </c>
      <c r="J36" s="26">
        <v>0.0</v>
      </c>
      <c r="K36" s="26">
        <v>1.0</v>
      </c>
      <c r="L36" s="26">
        <v>0.0</v>
      </c>
      <c r="M36" s="26">
        <v>1.0</v>
      </c>
      <c r="N36" s="17" t="s">
        <v>79</v>
      </c>
      <c r="O36" s="40">
        <v>309.75</v>
      </c>
    </row>
    <row r="37">
      <c r="A37" s="17" t="s">
        <v>272</v>
      </c>
      <c r="B37" s="26" t="s">
        <v>342</v>
      </c>
      <c r="C37" s="17" t="s">
        <v>312</v>
      </c>
      <c r="D37" s="17">
        <v>-33.740707</v>
      </c>
      <c r="E37" s="17">
        <v>151.0479</v>
      </c>
      <c r="F37" s="35">
        <v>24.0</v>
      </c>
      <c r="G37" s="26">
        <v>0.0</v>
      </c>
      <c r="H37" s="26">
        <v>0.0</v>
      </c>
      <c r="I37" s="26">
        <v>0.0</v>
      </c>
      <c r="J37" s="26">
        <v>0.0</v>
      </c>
      <c r="K37" s="26">
        <v>1.0</v>
      </c>
      <c r="L37" s="26">
        <v>0.0</v>
      </c>
      <c r="M37" s="26">
        <v>1.0</v>
      </c>
      <c r="N37" s="17" t="s">
        <v>79</v>
      </c>
      <c r="O37" s="40">
        <v>7.02</v>
      </c>
    </row>
    <row r="38">
      <c r="A38" s="17" t="s">
        <v>277</v>
      </c>
      <c r="B38" s="26" t="s">
        <v>342</v>
      </c>
      <c r="C38" s="17" t="s">
        <v>326</v>
      </c>
      <c r="D38" s="17">
        <v>-33.746075</v>
      </c>
      <c r="E38" s="17">
        <v>150.60927</v>
      </c>
      <c r="F38" s="35">
        <v>26.1</v>
      </c>
      <c r="G38" s="26">
        <v>0.0</v>
      </c>
      <c r="H38" s="26">
        <v>0.0</v>
      </c>
      <c r="I38" s="26">
        <v>0.0</v>
      </c>
      <c r="J38" s="26">
        <v>0.0</v>
      </c>
      <c r="K38" s="26">
        <v>1.0</v>
      </c>
      <c r="L38" s="26">
        <v>0.0</v>
      </c>
      <c r="M38" s="26">
        <v>1.0</v>
      </c>
      <c r="N38" s="17" t="s">
        <v>87</v>
      </c>
      <c r="O38" s="40">
        <v>46.63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9.5"/>
  </cols>
  <sheetData>
    <row r="1">
      <c r="A1" s="36" t="s">
        <v>170</v>
      </c>
      <c r="B1" s="37" t="s">
        <v>175</v>
      </c>
      <c r="C1" s="37" t="s">
        <v>177</v>
      </c>
      <c r="D1" s="37" t="s">
        <v>179</v>
      </c>
      <c r="E1" s="37" t="s">
        <v>183</v>
      </c>
    </row>
    <row r="2">
      <c r="A2" s="26" t="s">
        <v>301</v>
      </c>
      <c r="B2" s="38">
        <v>121.0</v>
      </c>
      <c r="C2" s="38">
        <v>73.0</v>
      </c>
      <c r="D2" s="38">
        <v>30.0</v>
      </c>
      <c r="E2" s="38">
        <v>15.0</v>
      </c>
    </row>
    <row r="3">
      <c r="A3" s="26" t="s">
        <v>302</v>
      </c>
      <c r="B3" s="38">
        <v>69.0</v>
      </c>
      <c r="C3" s="38">
        <v>102.0</v>
      </c>
      <c r="D3" s="38">
        <v>52.0</v>
      </c>
      <c r="E3" s="38">
        <v>12.0</v>
      </c>
    </row>
    <row r="4">
      <c r="A4" s="26" t="s">
        <v>307</v>
      </c>
      <c r="B4" s="38">
        <v>21.0</v>
      </c>
      <c r="C4" s="38">
        <v>36.0</v>
      </c>
      <c r="D4" s="38">
        <v>86.0</v>
      </c>
      <c r="E4" s="38">
        <v>65.0</v>
      </c>
    </row>
    <row r="5">
      <c r="A5" s="26" t="s">
        <v>308</v>
      </c>
      <c r="B5" s="38">
        <v>52.0</v>
      </c>
      <c r="C5" s="38">
        <v>13.0</v>
      </c>
      <c r="D5" s="38">
        <v>39.0</v>
      </c>
      <c r="E5" s="38">
        <v>115.0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0"/>
  </cols>
  <sheetData>
    <row r="1">
      <c r="A1" s="34" t="s">
        <v>204</v>
      </c>
      <c r="B1" s="34" t="s">
        <v>209</v>
      </c>
    </row>
    <row r="2">
      <c r="A2" s="26" t="s">
        <v>334</v>
      </c>
      <c r="B2" s="26">
        <v>70.5</v>
      </c>
    </row>
    <row r="3">
      <c r="A3" s="26" t="s">
        <v>336</v>
      </c>
      <c r="B3" s="26">
        <v>63.9</v>
      </c>
    </row>
    <row r="4">
      <c r="A4" s="26" t="s">
        <v>338</v>
      </c>
      <c r="B4" s="26">
        <v>54.9</v>
      </c>
    </row>
    <row r="5">
      <c r="A5" s="26" t="s">
        <v>340</v>
      </c>
      <c r="B5" s="26">
        <v>52.0</v>
      </c>
    </row>
    <row r="6">
      <c r="A6" s="26" t="s">
        <v>341</v>
      </c>
      <c r="B6" s="26">
        <v>51.2</v>
      </c>
    </row>
    <row r="7">
      <c r="A7" s="26" t="s">
        <v>343</v>
      </c>
      <c r="B7" s="26">
        <v>48.4</v>
      </c>
    </row>
    <row r="8">
      <c r="A8" s="26" t="s">
        <v>344</v>
      </c>
      <c r="B8" s="26">
        <v>46.3</v>
      </c>
    </row>
    <row r="9">
      <c r="A9" s="26" t="s">
        <v>345</v>
      </c>
      <c r="B9" s="26">
        <v>45.9</v>
      </c>
    </row>
    <row r="10">
      <c r="A10" s="26" t="s">
        <v>346</v>
      </c>
      <c r="B10" s="26">
        <v>45.5</v>
      </c>
    </row>
    <row r="11">
      <c r="A11" s="26" t="s">
        <v>348</v>
      </c>
      <c r="B11" s="26">
        <v>45.1</v>
      </c>
    </row>
    <row r="12">
      <c r="A12" s="26" t="s">
        <v>349</v>
      </c>
      <c r="B12" s="26">
        <v>38.1</v>
      </c>
    </row>
    <row r="13">
      <c r="A13" s="26" t="s">
        <v>351</v>
      </c>
      <c r="B13" s="26">
        <v>37.3</v>
      </c>
    </row>
    <row r="14">
      <c r="A14" s="26" t="s">
        <v>352</v>
      </c>
      <c r="B14" s="26">
        <v>35.7</v>
      </c>
    </row>
    <row r="15">
      <c r="A15" s="26" t="s">
        <v>353</v>
      </c>
      <c r="B15" s="26">
        <v>35.2</v>
      </c>
    </row>
    <row r="16">
      <c r="A16" s="26" t="s">
        <v>354</v>
      </c>
      <c r="B16" s="26">
        <v>33.6</v>
      </c>
    </row>
    <row r="17">
      <c r="A17" s="26" t="s">
        <v>355</v>
      </c>
      <c r="B17" s="26">
        <v>22.5</v>
      </c>
    </row>
    <row r="18">
      <c r="A18" s="26" t="s">
        <v>356</v>
      </c>
      <c r="B18" s="26">
        <v>13.9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63"/>
    <col customWidth="1" min="2" max="2" width="22.25"/>
    <col customWidth="1" min="3" max="5" width="16.63"/>
    <col customWidth="1" min="6" max="6" width="23.75"/>
    <col customWidth="1" min="7" max="7" width="51.5"/>
  </cols>
  <sheetData>
    <row r="1">
      <c r="A1" s="42" t="s">
        <v>14</v>
      </c>
      <c r="B1" s="42" t="s">
        <v>226</v>
      </c>
      <c r="C1" s="42" t="s">
        <v>27</v>
      </c>
      <c r="D1" s="42" t="s">
        <v>29</v>
      </c>
      <c r="E1" s="42" t="s">
        <v>237</v>
      </c>
      <c r="F1" s="42" t="s">
        <v>241</v>
      </c>
      <c r="G1" s="42" t="s">
        <v>244</v>
      </c>
    </row>
    <row r="2">
      <c r="A2" s="17" t="s">
        <v>371</v>
      </c>
      <c r="B2" s="17" t="s">
        <v>372</v>
      </c>
      <c r="C2" s="43">
        <v>-33.829596</v>
      </c>
      <c r="D2" s="43">
        <v>150.952882</v>
      </c>
      <c r="E2" s="24">
        <v>5.0</v>
      </c>
      <c r="F2" s="41" t="s">
        <v>375</v>
      </c>
      <c r="G2" s="41" t="s">
        <v>375</v>
      </c>
    </row>
    <row r="3">
      <c r="A3" s="17" t="s">
        <v>376</v>
      </c>
      <c r="B3" s="17" t="s">
        <v>377</v>
      </c>
      <c r="C3" s="43">
        <v>-33.890663</v>
      </c>
      <c r="D3" s="43">
        <v>151.213019</v>
      </c>
      <c r="E3" s="24">
        <v>1.2</v>
      </c>
      <c r="F3" s="41" t="s">
        <v>375</v>
      </c>
      <c r="G3" s="26" t="s">
        <v>378</v>
      </c>
    </row>
    <row r="4">
      <c r="A4" s="17" t="s">
        <v>379</v>
      </c>
      <c r="B4" s="41" t="s">
        <v>380</v>
      </c>
      <c r="C4" s="43">
        <v>-34.032369</v>
      </c>
      <c r="D4" s="43">
        <v>150.849047</v>
      </c>
      <c r="E4" s="24">
        <v>0.9</v>
      </c>
      <c r="F4" s="41" t="s">
        <v>375</v>
      </c>
      <c r="G4" s="41" t="s">
        <v>384</v>
      </c>
    </row>
    <row r="5">
      <c r="A5" s="17" t="s">
        <v>386</v>
      </c>
      <c r="B5" s="17" t="s">
        <v>387</v>
      </c>
      <c r="C5" s="43">
        <v>-33.920634</v>
      </c>
      <c r="D5" s="43">
        <v>151.255247</v>
      </c>
      <c r="E5" s="24">
        <v>4.0</v>
      </c>
      <c r="F5" s="41" t="s">
        <v>375</v>
      </c>
      <c r="G5" s="41" t="s">
        <v>375</v>
      </c>
    </row>
    <row r="6">
      <c r="A6" s="17" t="s">
        <v>389</v>
      </c>
      <c r="B6" s="17" t="s">
        <v>390</v>
      </c>
      <c r="C6" s="43">
        <v>-33.914627</v>
      </c>
      <c r="D6" s="43">
        <v>151.24165</v>
      </c>
      <c r="E6" s="24">
        <v>4.1</v>
      </c>
      <c r="F6" s="41" t="s">
        <v>375</v>
      </c>
      <c r="G6" s="41" t="s">
        <v>375</v>
      </c>
    </row>
    <row r="7">
      <c r="A7" s="17" t="s">
        <v>395</v>
      </c>
      <c r="B7" s="17" t="s">
        <v>396</v>
      </c>
      <c r="C7" s="43">
        <v>-33.883045</v>
      </c>
      <c r="D7" s="43">
        <v>151.114405</v>
      </c>
      <c r="E7" s="24">
        <v>1.5</v>
      </c>
      <c r="F7" s="41" t="s">
        <v>375</v>
      </c>
      <c r="G7" s="41" t="s">
        <v>375</v>
      </c>
    </row>
    <row r="8">
      <c r="A8" s="17" t="s">
        <v>398</v>
      </c>
      <c r="B8" s="17" t="s">
        <v>399</v>
      </c>
      <c r="C8" s="43">
        <v>-33.829625</v>
      </c>
      <c r="D8" s="43">
        <v>151.117512</v>
      </c>
      <c r="E8" s="24">
        <v>4.2</v>
      </c>
      <c r="F8" s="41" t="s">
        <v>375</v>
      </c>
      <c r="G8" s="41" t="s">
        <v>375</v>
      </c>
    </row>
    <row r="9">
      <c r="A9" s="17" t="s">
        <v>403</v>
      </c>
      <c r="B9" s="17" t="s">
        <v>405</v>
      </c>
      <c r="C9" s="43">
        <v>-33.880673</v>
      </c>
      <c r="D9" s="43">
        <v>151.139102</v>
      </c>
      <c r="E9" s="24">
        <v>1.5</v>
      </c>
      <c r="F9" s="41" t="s">
        <v>375</v>
      </c>
      <c r="G9" s="41" t="s">
        <v>375</v>
      </c>
    </row>
    <row r="10">
      <c r="A10" s="17" t="s">
        <v>408</v>
      </c>
      <c r="B10" s="17" t="s">
        <v>410</v>
      </c>
      <c r="C10" s="43">
        <v>-33.899556</v>
      </c>
      <c r="D10" s="43">
        <v>151.18448</v>
      </c>
      <c r="E10" s="24">
        <v>0.4</v>
      </c>
      <c r="F10" s="17" t="s">
        <v>413</v>
      </c>
      <c r="G10" s="41" t="s">
        <v>414</v>
      </c>
    </row>
    <row r="11">
      <c r="A11" s="17" t="s">
        <v>415</v>
      </c>
      <c r="B11" s="17" t="s">
        <v>418</v>
      </c>
      <c r="C11" s="43">
        <v>-33.896209</v>
      </c>
      <c r="D11" s="43">
        <v>151.154148</v>
      </c>
      <c r="E11" s="24">
        <v>1.0</v>
      </c>
      <c r="F11" s="41" t="s">
        <v>375</v>
      </c>
      <c r="G11" s="41" t="s">
        <v>422</v>
      </c>
    </row>
    <row r="12">
      <c r="A12" s="17" t="s">
        <v>423</v>
      </c>
      <c r="B12" s="17" t="s">
        <v>425</v>
      </c>
      <c r="C12" s="43">
        <v>-33.910624</v>
      </c>
      <c r="D12" s="43">
        <v>151.156459</v>
      </c>
      <c r="E12" s="24">
        <v>1.2</v>
      </c>
      <c r="F12" s="41" t="s">
        <v>375</v>
      </c>
      <c r="G12" s="41" t="s">
        <v>422</v>
      </c>
    </row>
    <row r="13">
      <c r="A13" s="17" t="s">
        <v>428</v>
      </c>
      <c r="B13" s="17" t="s">
        <v>430</v>
      </c>
      <c r="C13" s="44">
        <v>-33.904194</v>
      </c>
      <c r="D13" s="44">
        <v>151.137417</v>
      </c>
      <c r="E13" s="24">
        <v>0.8</v>
      </c>
      <c r="F13" s="41" t="s">
        <v>375</v>
      </c>
      <c r="G13" s="41" t="s">
        <v>422</v>
      </c>
    </row>
    <row r="14">
      <c r="A14" s="17" t="s">
        <v>436</v>
      </c>
      <c r="B14" s="17" t="s">
        <v>437</v>
      </c>
      <c r="C14" s="43">
        <v>-33.855002</v>
      </c>
      <c r="D14" s="43">
        <v>151.107783</v>
      </c>
      <c r="E14" s="24">
        <v>0.5</v>
      </c>
      <c r="F14" s="41" t="s">
        <v>375</v>
      </c>
      <c r="G14" s="41" t="s">
        <v>422</v>
      </c>
    </row>
    <row r="15">
      <c r="A15" s="17" t="s">
        <v>443</v>
      </c>
      <c r="B15" s="17" t="s">
        <v>444</v>
      </c>
      <c r="C15" s="43">
        <v>-33.896552</v>
      </c>
      <c r="D15" s="43">
        <v>151.179951</v>
      </c>
      <c r="E15" s="24">
        <v>0.7</v>
      </c>
      <c r="F15" s="17" t="s">
        <v>445</v>
      </c>
      <c r="G15" s="17" t="s">
        <v>446</v>
      </c>
    </row>
    <row r="16">
      <c r="A16" s="17" t="s">
        <v>447</v>
      </c>
      <c r="B16" s="17" t="s">
        <v>448</v>
      </c>
      <c r="C16" s="43">
        <v>-33.795875</v>
      </c>
      <c r="D16" s="43">
        <v>151.001223</v>
      </c>
      <c r="E16" s="24">
        <v>3.0</v>
      </c>
      <c r="F16" s="17" t="s">
        <v>449</v>
      </c>
      <c r="G16" s="41" t="s">
        <v>375</v>
      </c>
    </row>
    <row r="17">
      <c r="A17" s="17" t="s">
        <v>451</v>
      </c>
      <c r="B17" s="17" t="s">
        <v>452</v>
      </c>
      <c r="C17" s="43">
        <v>-33.849571</v>
      </c>
      <c r="D17" s="43">
        <v>151.032695</v>
      </c>
      <c r="E17" s="24">
        <v>1.3</v>
      </c>
      <c r="F17" s="41" t="s">
        <v>375</v>
      </c>
      <c r="G17" s="41" t="s">
        <v>455</v>
      </c>
    </row>
    <row r="18">
      <c r="A18" s="17" t="s">
        <v>456</v>
      </c>
      <c r="B18" s="17" t="s">
        <v>457</v>
      </c>
      <c r="C18" s="43">
        <v>-33.883766</v>
      </c>
      <c r="D18" s="43">
        <v>150.924362</v>
      </c>
      <c r="E18" s="24">
        <v>2.5</v>
      </c>
      <c r="F18" s="17" t="s">
        <v>458</v>
      </c>
      <c r="G18" s="41" t="s">
        <v>459</v>
      </c>
    </row>
    <row r="19">
      <c r="A19" s="17" t="s">
        <v>460</v>
      </c>
      <c r="B19" s="17" t="s">
        <v>425</v>
      </c>
      <c r="C19" s="43">
        <v>-33.903331</v>
      </c>
      <c r="D19" s="43">
        <v>151.14252</v>
      </c>
      <c r="E19" s="24">
        <v>0.9</v>
      </c>
      <c r="F19" s="41" t="s">
        <v>375</v>
      </c>
      <c r="G19" s="41" t="s">
        <v>465</v>
      </c>
    </row>
    <row r="20">
      <c r="A20" s="17" t="s">
        <v>466</v>
      </c>
      <c r="B20" s="17" t="s">
        <v>467</v>
      </c>
      <c r="C20" s="43">
        <v>-33.881376</v>
      </c>
      <c r="D20" s="43">
        <v>151.170425</v>
      </c>
      <c r="E20" s="24">
        <v>1.5</v>
      </c>
      <c r="F20" s="41" t="s">
        <v>375</v>
      </c>
      <c r="G20" s="41" t="s">
        <v>468</v>
      </c>
    </row>
    <row r="21">
      <c r="A21" s="17" t="s">
        <v>469</v>
      </c>
      <c r="B21" s="17" t="s">
        <v>418</v>
      </c>
      <c r="C21" s="43">
        <v>-33.896849</v>
      </c>
      <c r="D21" s="43">
        <v>151.148725</v>
      </c>
      <c r="E21" s="24">
        <v>0.8</v>
      </c>
      <c r="F21" s="17" t="s">
        <v>458</v>
      </c>
      <c r="G21" s="41" t="s">
        <v>471</v>
      </c>
    </row>
    <row r="22">
      <c r="A22" s="17" t="s">
        <v>472</v>
      </c>
      <c r="B22" s="17" t="s">
        <v>474</v>
      </c>
      <c r="C22" s="43">
        <v>-33.884501</v>
      </c>
      <c r="D22" s="43">
        <v>151.197455</v>
      </c>
      <c r="E22" s="24">
        <v>1.1</v>
      </c>
      <c r="F22" s="17" t="s">
        <v>458</v>
      </c>
      <c r="G22" s="41" t="s">
        <v>476</v>
      </c>
    </row>
    <row r="23">
      <c r="A23" s="17" t="s">
        <v>477</v>
      </c>
      <c r="B23" s="17" t="s">
        <v>478</v>
      </c>
      <c r="C23" s="43">
        <v>-34.052113</v>
      </c>
      <c r="D23" s="43">
        <v>150.841584</v>
      </c>
      <c r="E23" s="24">
        <v>0.9</v>
      </c>
      <c r="F23" s="17" t="s">
        <v>458</v>
      </c>
      <c r="G23" s="41" t="s">
        <v>375</v>
      </c>
    </row>
    <row r="24">
      <c r="A24" s="17" t="s">
        <v>479</v>
      </c>
      <c r="B24" s="17" t="s">
        <v>480</v>
      </c>
      <c r="C24" s="43">
        <v>-33.857487</v>
      </c>
      <c r="D24" s="43">
        <v>150.891087</v>
      </c>
      <c r="E24" s="24">
        <v>7.0</v>
      </c>
      <c r="F24" s="41" t="s">
        <v>375</v>
      </c>
      <c r="G24" s="41" t="s">
        <v>375</v>
      </c>
    </row>
    <row r="25">
      <c r="A25" s="17" t="s">
        <v>484</v>
      </c>
      <c r="B25" s="17" t="s">
        <v>485</v>
      </c>
      <c r="C25" s="43">
        <v>-34.034385</v>
      </c>
      <c r="D25" s="43">
        <v>151.102128</v>
      </c>
      <c r="E25" s="24">
        <v>0.6</v>
      </c>
      <c r="F25" s="41" t="s">
        <v>375</v>
      </c>
      <c r="G25" s="41" t="s">
        <v>375</v>
      </c>
    </row>
    <row r="26">
      <c r="A26" s="17" t="s">
        <v>486</v>
      </c>
      <c r="B26" s="17" t="s">
        <v>487</v>
      </c>
      <c r="C26" s="43">
        <v>-33.886944</v>
      </c>
      <c r="D26" s="43">
        <v>151.092502</v>
      </c>
      <c r="E26" s="24">
        <v>1.0</v>
      </c>
      <c r="F26" s="17" t="s">
        <v>458</v>
      </c>
      <c r="G26" s="41" t="s">
        <v>375</v>
      </c>
    </row>
    <row r="27">
      <c r="A27" s="17" t="s">
        <v>490</v>
      </c>
      <c r="B27" s="17" t="s">
        <v>491</v>
      </c>
      <c r="C27" s="43">
        <v>-33.895069</v>
      </c>
      <c r="D27" s="43">
        <v>150.936478</v>
      </c>
      <c r="E27" s="24">
        <v>1.2</v>
      </c>
      <c r="F27" s="17" t="s">
        <v>458</v>
      </c>
      <c r="G27" s="41" t="s">
        <v>459</v>
      </c>
    </row>
    <row r="28">
      <c r="A28" s="17" t="s">
        <v>494</v>
      </c>
      <c r="B28" s="17" t="s">
        <v>495</v>
      </c>
      <c r="C28" s="43">
        <v>-33.868818</v>
      </c>
      <c r="D28" s="43">
        <v>150.921756</v>
      </c>
      <c r="E28" s="24">
        <v>3.8</v>
      </c>
      <c r="F28" s="17" t="s">
        <v>413</v>
      </c>
      <c r="G28" s="41" t="s">
        <v>496</v>
      </c>
    </row>
    <row r="29">
      <c r="A29" s="17" t="s">
        <v>497</v>
      </c>
      <c r="B29" s="17" t="s">
        <v>498</v>
      </c>
      <c r="C29" s="43">
        <v>-33.890834</v>
      </c>
      <c r="D29" s="43">
        <v>151.274267</v>
      </c>
      <c r="E29" s="24">
        <v>3.5</v>
      </c>
      <c r="F29" s="17" t="s">
        <v>500</v>
      </c>
      <c r="G29" s="41" t="s">
        <v>501</v>
      </c>
    </row>
    <row r="30">
      <c r="A30" s="17" t="s">
        <v>502</v>
      </c>
      <c r="B30" s="17" t="s">
        <v>503</v>
      </c>
      <c r="C30" s="43">
        <v>-33.922561</v>
      </c>
      <c r="D30" s="43">
        <v>151.204073</v>
      </c>
      <c r="E30" s="24">
        <v>1.0</v>
      </c>
      <c r="F30" s="41" t="s">
        <v>375</v>
      </c>
      <c r="G30" s="41" t="s">
        <v>375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0"/>
    <col customWidth="1" min="3" max="3" width="18.5"/>
    <col customWidth="1" min="4" max="4" width="8.63"/>
    <col customWidth="1" min="5" max="5" width="15.75"/>
  </cols>
  <sheetData>
    <row r="1">
      <c r="A1" s="15" t="s">
        <v>253</v>
      </c>
      <c r="B1" s="15" t="s">
        <v>258</v>
      </c>
      <c r="C1" s="15" t="s">
        <v>261</v>
      </c>
      <c r="D1" s="15" t="s">
        <v>264</v>
      </c>
      <c r="E1" s="15" t="s">
        <v>269</v>
      </c>
    </row>
    <row r="2">
      <c r="A2" s="26" t="s">
        <v>393</v>
      </c>
      <c r="B2" s="26">
        <v>2.1</v>
      </c>
      <c r="C2" s="26">
        <v>2147.0</v>
      </c>
      <c r="D2" s="26">
        <v>103.3</v>
      </c>
      <c r="E2" s="26">
        <v>38.2</v>
      </c>
    </row>
    <row r="3">
      <c r="A3" s="26" t="s">
        <v>397</v>
      </c>
      <c r="B3" s="26">
        <v>1.2</v>
      </c>
      <c r="C3" s="26">
        <v>1201.0</v>
      </c>
      <c r="D3" s="26">
        <v>102.8</v>
      </c>
      <c r="E3" s="26">
        <v>40.0</v>
      </c>
    </row>
    <row r="4">
      <c r="A4" s="26" t="s">
        <v>400</v>
      </c>
      <c r="B4" s="26">
        <v>1.2</v>
      </c>
      <c r="C4" s="26">
        <v>1054.0</v>
      </c>
      <c r="D4" s="26">
        <v>99.0</v>
      </c>
      <c r="E4" s="26">
        <v>47.1</v>
      </c>
    </row>
    <row r="5">
      <c r="A5" s="26" t="s">
        <v>402</v>
      </c>
      <c r="B5" s="26">
        <v>1.1</v>
      </c>
      <c r="C5" s="26">
        <v>367.0</v>
      </c>
      <c r="D5" s="26">
        <v>97.35</v>
      </c>
      <c r="E5" s="26">
        <v>43.15</v>
      </c>
    </row>
    <row r="6">
      <c r="A6" s="26" t="s">
        <v>407</v>
      </c>
      <c r="B6" s="26">
        <v>0.8</v>
      </c>
      <c r="C6" s="26">
        <v>171.0</v>
      </c>
      <c r="D6" s="26">
        <v>99.5</v>
      </c>
      <c r="E6" s="26">
        <v>26.2</v>
      </c>
    </row>
    <row r="7">
      <c r="A7" s="26" t="s">
        <v>409</v>
      </c>
      <c r="B7" s="26">
        <v>3.6</v>
      </c>
      <c r="C7" s="26">
        <v>410.0</v>
      </c>
      <c r="D7" s="26">
        <v>107.1</v>
      </c>
      <c r="E7" s="26">
        <v>54.9</v>
      </c>
    </row>
    <row r="8">
      <c r="A8" s="26" t="s">
        <v>412</v>
      </c>
      <c r="B8" s="26">
        <v>1.4</v>
      </c>
      <c r="C8" s="26">
        <v>210.0</v>
      </c>
      <c r="D8" s="26">
        <v>102.7</v>
      </c>
      <c r="E8" s="26">
        <v>39.3</v>
      </c>
    </row>
    <row r="9">
      <c r="A9" s="26" t="s">
        <v>416</v>
      </c>
      <c r="B9" s="26">
        <v>1.7</v>
      </c>
      <c r="C9" s="26">
        <v>668.0</v>
      </c>
      <c r="D9" s="26">
        <v>95.5</v>
      </c>
      <c r="E9" s="26">
        <v>29.1</v>
      </c>
    </row>
    <row r="10">
      <c r="A10" s="26" t="s">
        <v>420</v>
      </c>
      <c r="B10" s="26">
        <v>0.9</v>
      </c>
      <c r="C10" s="26">
        <v>384.0</v>
      </c>
      <c r="D10" s="26">
        <v>99.4</v>
      </c>
      <c r="E10" s="26">
        <v>42.6</v>
      </c>
    </row>
    <row r="11">
      <c r="A11" s="26" t="s">
        <v>424</v>
      </c>
      <c r="B11" s="26">
        <v>1.0</v>
      </c>
      <c r="C11" s="26">
        <v>494.0</v>
      </c>
      <c r="D11" s="26">
        <v>97.3</v>
      </c>
      <c r="E11" s="26">
        <v>47.1</v>
      </c>
    </row>
    <row r="12">
      <c r="A12" s="26" t="s">
        <v>426</v>
      </c>
      <c r="B12" s="26">
        <v>1.0</v>
      </c>
      <c r="C12" s="26">
        <v>444.0</v>
      </c>
      <c r="D12" s="26">
        <v>99.9</v>
      </c>
      <c r="E12" s="26">
        <v>39.1</v>
      </c>
    </row>
    <row r="13">
      <c r="A13" s="26" t="s">
        <v>429</v>
      </c>
      <c r="B13" s="26">
        <v>1.1</v>
      </c>
      <c r="C13" s="26">
        <v>3137.0</v>
      </c>
      <c r="D13" s="26">
        <v>98.6</v>
      </c>
      <c r="E13" s="26">
        <v>42.2</v>
      </c>
    </row>
    <row r="14">
      <c r="A14" s="26" t="s">
        <v>433</v>
      </c>
      <c r="B14" s="26">
        <v>1.0</v>
      </c>
      <c r="C14" s="26">
        <v>663.0</v>
      </c>
      <c r="D14" s="26">
        <v>99.8</v>
      </c>
      <c r="E14" s="26">
        <v>30.6</v>
      </c>
    </row>
    <row r="15">
      <c r="A15" s="26" t="s">
        <v>435</v>
      </c>
      <c r="B15" s="26">
        <v>1.0</v>
      </c>
      <c r="C15" s="26">
        <v>433.0</v>
      </c>
      <c r="D15" s="26">
        <v>99.2</v>
      </c>
      <c r="E15" s="26">
        <v>30.4</v>
      </c>
    </row>
    <row r="16">
      <c r="A16" s="26" t="s">
        <v>438</v>
      </c>
      <c r="B16" s="26">
        <v>1.2</v>
      </c>
      <c r="C16" s="26">
        <v>305.0</v>
      </c>
      <c r="D16" s="26">
        <v>100.9</v>
      </c>
      <c r="E16" s="26">
        <v>27.7</v>
      </c>
    </row>
    <row r="17">
      <c r="A17" s="26" t="s">
        <v>440</v>
      </c>
      <c r="B17" s="26">
        <v>1.2</v>
      </c>
      <c r="C17" s="26">
        <v>901.0</v>
      </c>
      <c r="D17" s="26">
        <v>97.9</v>
      </c>
      <c r="E17" s="26">
        <v>29.3</v>
      </c>
    </row>
  </sheetData>
  <drawing r:id="rId1"/>
</worksheet>
</file>